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c66a12418570ca/Desktop/Projects/MelbEats/"/>
    </mc:Choice>
  </mc:AlternateContent>
  <xr:revisionPtr revIDLastSave="572" documentId="13_ncr:1_{6B110E32-D919-4039-A06E-9D1CDE8DCCE0}" xr6:coauthVersionLast="47" xr6:coauthVersionMax="47" xr10:uidLastSave="{903A2D98-9FBF-4658-A2B7-AEDDC78ABB62}"/>
  <bookViews>
    <workbookView xWindow="-98" yWindow="-98" windowWidth="21795" windowHeight="12975" xr2:uid="{66D3B1C7-080B-42FC-A787-EF3F4D2CE8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1" l="1"/>
  <c r="B66" i="1" s="1"/>
  <c r="M65" i="1"/>
  <c r="B65" i="1" s="1"/>
  <c r="M64" i="1"/>
  <c r="B64" i="1"/>
  <c r="M63" i="1"/>
  <c r="B63" i="1" s="1"/>
  <c r="M62" i="1"/>
  <c r="B62" i="1"/>
  <c r="M61" i="1"/>
  <c r="B61" i="1" s="1"/>
  <c r="M60" i="1"/>
  <c r="B60" i="1" s="1"/>
  <c r="M59" i="1"/>
  <c r="B59" i="1"/>
  <c r="M58" i="1"/>
  <c r="B58" i="1"/>
  <c r="M57" i="1"/>
  <c r="B57" i="1"/>
  <c r="M56" i="1"/>
  <c r="B56" i="1"/>
  <c r="M55" i="1"/>
  <c r="B55" i="1"/>
  <c r="M54" i="1"/>
  <c r="B54" i="1"/>
  <c r="M53" i="1"/>
  <c r="B53" i="1"/>
  <c r="M52" i="1"/>
  <c r="B52" i="1" s="1"/>
  <c r="M51" i="1"/>
  <c r="B51" i="1" s="1"/>
  <c r="M50" i="1"/>
  <c r="B50" i="1"/>
  <c r="M49" i="1"/>
  <c r="B49" i="1" s="1"/>
  <c r="M48" i="1"/>
  <c r="B48" i="1"/>
  <c r="M47" i="1"/>
  <c r="B47" i="1"/>
  <c r="M46" i="1"/>
  <c r="B46" i="1"/>
  <c r="M45" i="1"/>
  <c r="B45" i="1" s="1"/>
  <c r="M44" i="1"/>
  <c r="B44" i="1"/>
  <c r="M43" i="1"/>
  <c r="B43" i="1"/>
  <c r="M42" i="1"/>
  <c r="B42" i="1" s="1"/>
  <c r="M41" i="1"/>
  <c r="B41" i="1"/>
  <c r="M40" i="1"/>
  <c r="B40" i="1" s="1"/>
  <c r="M39" i="1"/>
  <c r="B39" i="1" s="1"/>
  <c r="M4" i="1"/>
  <c r="B4" i="1" s="1"/>
  <c r="M30" i="1"/>
  <c r="B30" i="1" s="1"/>
  <c r="M12" i="1"/>
  <c r="B12" i="1" s="1"/>
  <c r="M2" i="1"/>
  <c r="B2" i="1" s="1"/>
  <c r="M17" i="1"/>
  <c r="B17" i="1" s="1"/>
  <c r="M35" i="1"/>
  <c r="B35" i="1" s="1"/>
  <c r="M33" i="1"/>
  <c r="B33" i="1" s="1"/>
  <c r="M28" i="1"/>
  <c r="B28" i="1" s="1"/>
  <c r="M19" i="1"/>
  <c r="B19" i="1" s="1"/>
  <c r="M22" i="1"/>
  <c r="B22" i="1" s="1"/>
  <c r="M38" i="1"/>
  <c r="B38" i="1" s="1"/>
  <c r="M37" i="1"/>
  <c r="B37" i="1" s="1"/>
  <c r="M18" i="1"/>
  <c r="B18" i="1" s="1"/>
  <c r="M34" i="1"/>
  <c r="B34" i="1" s="1"/>
  <c r="M27" i="1"/>
  <c r="B27" i="1" s="1"/>
  <c r="M31" i="1"/>
  <c r="B31" i="1" s="1"/>
  <c r="M20" i="1"/>
  <c r="B20" i="1" s="1"/>
  <c r="M3" i="1"/>
  <c r="B3" i="1" s="1"/>
  <c r="M8" i="1"/>
  <c r="B8" i="1" s="1"/>
  <c r="M13" i="1"/>
  <c r="B13" i="1" s="1"/>
  <c r="M25" i="1"/>
  <c r="B25" i="1" s="1"/>
  <c r="M11" i="1"/>
  <c r="B11" i="1" s="1"/>
  <c r="M7" i="1"/>
  <c r="B7" i="1" s="1"/>
  <c r="M21" i="1"/>
  <c r="B21" i="1" s="1"/>
  <c r="M16" i="1"/>
  <c r="B16" i="1" s="1"/>
  <c r="M32" i="1"/>
  <c r="B32" i="1" s="1"/>
  <c r="M23" i="1"/>
  <c r="B23" i="1" s="1"/>
  <c r="M15" i="1"/>
  <c r="B15" i="1" s="1"/>
  <c r="M24" i="1"/>
  <c r="B24" i="1" s="1"/>
  <c r="M6" i="1"/>
  <c r="B6" i="1" s="1"/>
  <c r="M14" i="1"/>
  <c r="B14" i="1" s="1"/>
  <c r="M10" i="1"/>
  <c r="B10" i="1" s="1"/>
  <c r="M5" i="1"/>
  <c r="B5" i="1" s="1"/>
  <c r="M29" i="1"/>
  <c r="B29" i="1" s="1"/>
  <c r="M9" i="1"/>
  <c r="B9" i="1" s="1"/>
  <c r="M26" i="1"/>
  <c r="B26" i="1" s="1"/>
  <c r="M36" i="1"/>
  <c r="B36" i="1" s="1"/>
</calcChain>
</file>

<file path=xl/sharedStrings.xml><?xml version="1.0" encoding="utf-8"?>
<sst xmlns="http://schemas.openxmlformats.org/spreadsheetml/2006/main" count="402" uniqueCount="246">
  <si>
    <t>San Telmo</t>
  </si>
  <si>
    <t>Pastuso</t>
  </si>
  <si>
    <t>Maha</t>
  </si>
  <si>
    <t>Tonka</t>
  </si>
  <si>
    <t>Mamasita</t>
  </si>
  <si>
    <t>Tres a Cinco</t>
  </si>
  <si>
    <t>Movida</t>
  </si>
  <si>
    <t>Nomad</t>
  </si>
  <si>
    <t>Hazel</t>
  </si>
  <si>
    <t>Kisume</t>
  </si>
  <si>
    <t>Robata</t>
  </si>
  <si>
    <t>Cumulus Inc</t>
  </si>
  <si>
    <t>Marmelo</t>
  </si>
  <si>
    <t>Vinesmith</t>
  </si>
  <si>
    <t>Embla</t>
  </si>
  <si>
    <t>Serai</t>
  </si>
  <si>
    <t>Entrecote</t>
  </si>
  <si>
    <t>Rue Du Tranh</t>
  </si>
  <si>
    <t>Marion</t>
  </si>
  <si>
    <t>Pincho Disco</t>
  </si>
  <si>
    <t>Cutler</t>
  </si>
  <si>
    <t>Pearl Diver</t>
  </si>
  <si>
    <t>City Wine Shop</t>
  </si>
  <si>
    <t>Coda</t>
  </si>
  <si>
    <t>Elchi</t>
  </si>
  <si>
    <t>Bar Lourinha</t>
  </si>
  <si>
    <t>Argentinian</t>
  </si>
  <si>
    <t>Italian</t>
  </si>
  <si>
    <t>Wine Bar</t>
  </si>
  <si>
    <t>Asian Fusion</t>
  </si>
  <si>
    <t>Contemporary</t>
  </si>
  <si>
    <t>Indian</t>
  </si>
  <si>
    <t>French</t>
  </si>
  <si>
    <t>Japanese</t>
  </si>
  <si>
    <t>Middle-Eastern</t>
  </si>
  <si>
    <t>Mexican</t>
  </si>
  <si>
    <t>Portugeuse</t>
  </si>
  <si>
    <t>Spanish</t>
  </si>
  <si>
    <t>Tapas Bar</t>
  </si>
  <si>
    <t>Peruvian</t>
  </si>
  <si>
    <t>Oyster Bar</t>
  </si>
  <si>
    <t>Latin American</t>
  </si>
  <si>
    <t>Japanese Grill</t>
  </si>
  <si>
    <t>Vietnamese</t>
  </si>
  <si>
    <t>Phillipino Fusion</t>
  </si>
  <si>
    <t>Minamishima</t>
  </si>
  <si>
    <t>Lucy Liu</t>
  </si>
  <si>
    <t>The Abyssinian</t>
  </si>
  <si>
    <t>Ethiopian</t>
  </si>
  <si>
    <t>Amaru</t>
  </si>
  <si>
    <t>Name</t>
  </si>
  <si>
    <t>Rating</t>
  </si>
  <si>
    <t>Comment</t>
  </si>
  <si>
    <t>Occasion</t>
  </si>
  <si>
    <t>Quality</t>
  </si>
  <si>
    <t>Ambience</t>
  </si>
  <si>
    <t>Price</t>
  </si>
  <si>
    <t>Calc Rating</t>
  </si>
  <si>
    <t>https://maps.app.goo.gl/goNK3cT5DGCQLeJx9</t>
  </si>
  <si>
    <t>https://maps.app.goo.gl/y8ps36MC6M1FLVQB8</t>
  </si>
  <si>
    <t>https://maps.app.goo.gl/RTJKMhX679KiGFWM6</t>
  </si>
  <si>
    <t>https://maps.app.goo.gl/GKktrSmb7xz6ZVY56</t>
  </si>
  <si>
    <t>https://maps.app.goo.gl/YdmCVSdrFZyAV87E8</t>
  </si>
  <si>
    <t>https://maps.app.goo.gl/LgDaPQRKXA3YtdPZA</t>
  </si>
  <si>
    <t>https://maps.app.goo.gl/2T9hTCovxEqLUP3n6</t>
  </si>
  <si>
    <t>https://maps.app.goo.gl/dkDv38XGsvyqyuD67</t>
  </si>
  <si>
    <t>https://maps.app.goo.gl/m9SNYH6bkYiEbHDDA</t>
  </si>
  <si>
    <t>https://maps.app.goo.gl/vyXvTi8mXJhA2pji9</t>
  </si>
  <si>
    <t>https://maps.app.goo.gl/jZumGWz4mUnjHt2N8</t>
  </si>
  <si>
    <t>https://maps.app.goo.gl/sqizgLXTTNf7xPrw9</t>
  </si>
  <si>
    <t>https://maps.app.goo.gl/DUUwdVRRn8Yp8oDN8</t>
  </si>
  <si>
    <t>https://maps.app.goo.gl/6ZRhWSnxqwC39p9N7</t>
  </si>
  <si>
    <t>https://maps.app.goo.gl/a7mZmTwbrExYfUEi6</t>
  </si>
  <si>
    <t>https://maps.app.goo.gl/vvUr5sJxLtsX533x8</t>
  </si>
  <si>
    <t>https://maps.app.goo.gl/AUsDQfXXZ4MaCzev7</t>
  </si>
  <si>
    <t>https://maps.app.goo.gl/tNeFVUPnGVJWWdSn8</t>
  </si>
  <si>
    <t>https://maps.app.goo.gl/nT7G1toUtpZt84J56</t>
  </si>
  <si>
    <t>https://maps.app.goo.gl/UJAqzEon8Q9yecV88</t>
  </si>
  <si>
    <t>https://maps.app.goo.gl/3e3T76W9n4YqgenG9</t>
  </si>
  <si>
    <t>https://maps.app.goo.gl/gsFShWJYbq7RvUKK9</t>
  </si>
  <si>
    <t>https://maps.app.goo.gl/C7PCntWqwNbfbej19</t>
  </si>
  <si>
    <t>https://maps.app.goo.gl/BTCbPn4fnEYPMtQB9</t>
  </si>
  <si>
    <t>The Walrus</t>
  </si>
  <si>
    <t>https://maps.app.goo.gl/kkMb9c1HZUAjxMBz5</t>
  </si>
  <si>
    <t>https://maps.app.goo.gl/Jn59tJWgC9dMXooD6</t>
  </si>
  <si>
    <t>https://maps.app.goo.gl/rB6L5Twrevu1MzAU6</t>
  </si>
  <si>
    <t>https://maps.app.goo.gl/4FeZLSv4LMNt9MaQ8</t>
  </si>
  <si>
    <t>https://maps.app.goo.gl/sMKeoR8KdsJbdrjB7</t>
  </si>
  <si>
    <t>https://maps.app.goo.gl/QtDJbqhEDeotcaN77</t>
  </si>
  <si>
    <t>https://maps.app.goo.gl/WKG9LKfed5bNknXaA</t>
  </si>
  <si>
    <t>https://maps.app.goo.gl/7Vo6ggQnszavkcSK6</t>
  </si>
  <si>
    <t>Trattoria Emilia</t>
  </si>
  <si>
    <t>https://maps.app.goo.gl/91Ss4oHnkC5etsMVA</t>
  </si>
  <si>
    <t>https://maps.app.goo.gl/dXDSmLfufyqztqDM6</t>
  </si>
  <si>
    <t>https://maps.app.goo.gl/sZ35hszppUiUTdez9</t>
  </si>
  <si>
    <t>Di Stasia Citta</t>
  </si>
  <si>
    <t>https://maps.app.goo.gl/eizx1R12PAWe9sxa8</t>
  </si>
  <si>
    <t>Longitude</t>
  </si>
  <si>
    <t>Latitude</t>
  </si>
  <si>
    <t>Style</t>
  </si>
  <si>
    <t>Kisume Chefs Table</t>
  </si>
  <si>
    <t>Farmers Daughter</t>
  </si>
  <si>
    <t>Cecconis</t>
  </si>
  <si>
    <t>Map</t>
  </si>
  <si>
    <t>Exceptional, high quality sushi and attention to detail.</t>
  </si>
  <si>
    <t>Unique Chef's table dining experience with incredible sushi</t>
  </si>
  <si>
    <t>High end fine dining without the "notions"</t>
  </si>
  <si>
    <t>Really trendy/tasty indian for very reasonable price</t>
  </si>
  <si>
    <t>Melbourne staple, one of the best meals we've had.</t>
  </si>
  <si>
    <t>High quality Japanese with great service</t>
  </si>
  <si>
    <t>Absolutely delicious Italian with clever sharing setup.</t>
  </si>
  <si>
    <t>Busy Portugeuse restaurant, great wine</t>
  </si>
  <si>
    <t>Super tasty, super trendy Asian fusion.</t>
  </si>
  <si>
    <t>High End fine dining. Multi-course menu 4+ hours. All delicious</t>
  </si>
  <si>
    <t>Not strictly speaking Filipino food I'm told but very tasty/different all the same</t>
  </si>
  <si>
    <t>Lots of tasty, spicy deliciousness</t>
  </si>
  <si>
    <t>Busy french wine bar is trendy neighbourhood</t>
  </si>
  <si>
    <t>Super trendy wine bar. Great steak</t>
  </si>
  <si>
    <t>Another Melbourne staple, busy but delicous</t>
  </si>
  <si>
    <t>Trendy contemporary Australian, good for groups</t>
  </si>
  <si>
    <t>Busy Middle-Eastern restaurat, multiple courses, great bread</t>
  </si>
  <si>
    <t>Went for a wine event but food was also delicious</t>
  </si>
  <si>
    <t>Bustling latin american joint, decent sized set menus</t>
  </si>
  <si>
    <t>Random Vietnamese/French restaurant, long wait for food but everything super tasty</t>
  </si>
  <si>
    <t>Stumbled across this super tasty, slighlty fancier mexican place.</t>
  </si>
  <si>
    <t>Nice wine bar  near St Kilda, nice place for a drink prior to a concert in the Palais</t>
  </si>
  <si>
    <t>They do a really good steak frites</t>
  </si>
  <si>
    <t>Another local of ours, decent food if you can get a table outside. Great wine</t>
  </si>
  <si>
    <t>Super trendy Mexican on Hosier lane</t>
  </si>
  <si>
    <t>No cutlery type food, Incredibly cheap, favourful food.</t>
  </si>
  <si>
    <t>Highly recommended but a bit of a let down. 3/4 of us got sick after</t>
  </si>
  <si>
    <t>Predominantly a cocktail/oyster bar but decent set menu also</t>
  </si>
  <si>
    <t>Busy old Italian joint. Solid meal, incredible steak but overpriced.</t>
  </si>
  <si>
    <t>Very decent Italian, went for work dinner</t>
  </si>
  <si>
    <t>Sister restaurant of Tonka, solid but nicer places nearby</t>
  </si>
  <si>
    <t>Cosy Tapas bar, easy for walk in and bar seating</t>
  </si>
  <si>
    <t>Decent Indian but portions were surprisingly small</t>
  </si>
  <si>
    <t>Overpriced Italian restaurant, nothing special</t>
  </si>
  <si>
    <t>One of our favourites, amazing steak. Great with friends</t>
  </si>
  <si>
    <t>Our local wine bar, newly opened. Still relatively cheap, cosy French bistro upstairs</t>
  </si>
  <si>
    <t>Region</t>
  </si>
  <si>
    <t>Asia</t>
  </si>
  <si>
    <t>Australian</t>
  </si>
  <si>
    <t>Central/South American</t>
  </si>
  <si>
    <t>European</t>
  </si>
  <si>
    <t>Middle East/Africa</t>
  </si>
  <si>
    <t>Fine Dining</t>
  </si>
  <si>
    <t>Dinner</t>
  </si>
  <si>
    <t>Wine</t>
  </si>
  <si>
    <t>Cocktails</t>
  </si>
  <si>
    <t>Flower Drum</t>
  </si>
  <si>
    <t>Cantonese</t>
  </si>
  <si>
    <t>Really old school, fine dining cantonese restraurant. Incredibly tasty food.</t>
  </si>
  <si>
    <t>https://maps.app.goo.gl/m1eqeSdwyasAyo3G8</t>
  </si>
  <si>
    <t>Tipo 00</t>
  </si>
  <si>
    <t>Hochi Mama</t>
  </si>
  <si>
    <t>Trendy, tasty asian fusion. Great place to start a night out.</t>
  </si>
  <si>
    <t>https://maps.app.goo.gl/hi7h4EjotMU4c13bA</t>
  </si>
  <si>
    <t>Hakata Gensuke</t>
  </si>
  <si>
    <t>Quick, tasty ramen. Signature Pork Tonkotsu</t>
  </si>
  <si>
    <t>https://maps.app.goo.gl/FPtD7z9TxMcbDKTz9</t>
  </si>
  <si>
    <t>Ramen</t>
  </si>
  <si>
    <t>Mensho</t>
  </si>
  <si>
    <t>Tasty ramen but Hakata nextdoor is nicer.</t>
  </si>
  <si>
    <t>https://maps.app.goo.gl/qkmttrsU6koRwq139</t>
  </si>
  <si>
    <t>Udon Izakaya Maedaya</t>
  </si>
  <si>
    <t>Simple ramen spot</t>
  </si>
  <si>
    <t>https://maps.app.goo.gl/PsvStDr3rBccTvFo6</t>
  </si>
  <si>
    <t>Sot</t>
  </si>
  <si>
    <t>Korean</t>
  </si>
  <si>
    <t>Tidy little Korean restaurant</t>
  </si>
  <si>
    <t>https://maps.app.goo.gl/8dYw14QDbMo5pYMQ9</t>
  </si>
  <si>
    <t>Juicy Bao</t>
  </si>
  <si>
    <t>Chinese</t>
  </si>
  <si>
    <t>Really tasty dumpling spot, always busy</t>
  </si>
  <si>
    <t>https://maps.app.goo.gl/nFrLzseyM4BaxWb36</t>
  </si>
  <si>
    <t>OMI 380</t>
  </si>
  <si>
    <t>High quality quick Japanese</t>
  </si>
  <si>
    <t>https://maps.app.goo.gl/hskBiGKLdPLEMNLr8</t>
  </si>
  <si>
    <t>Vacation</t>
  </si>
  <si>
    <t>Café and Roaster, really good coffee</t>
  </si>
  <si>
    <t>Café</t>
  </si>
  <si>
    <t>https://maps.app.goo.gl/JZ7nFvnsvQhdrsfKA</t>
  </si>
  <si>
    <t>Tom Thumb</t>
  </si>
  <si>
    <t>Really good coffee, weekdays only</t>
  </si>
  <si>
    <t>https://maps.app.goo.gl/FxUdLgdgxzgL9zJJ9</t>
  </si>
  <si>
    <t>Café Kinetic</t>
  </si>
  <si>
    <t>Really quick, high quality breakfast. Weekdays only</t>
  </si>
  <si>
    <t>Brunch</t>
  </si>
  <si>
    <t>https://maps.app.goo.gl/BZZ65dP5yDMNrbNi6</t>
  </si>
  <si>
    <t>Chin Chin</t>
  </si>
  <si>
    <t>Very popular spot, large menu. Probably overrated</t>
  </si>
  <si>
    <t>https://maps.app.goo.gl/XPzEH38UM5S7da377</t>
  </si>
  <si>
    <t>Supernormal</t>
  </si>
  <si>
    <t>Very popular spot, large menu. Probably overrated, great for groups</t>
  </si>
  <si>
    <t>https://maps.app.goo.gl/ZK3Mpg3jTUHG2gBC6</t>
  </si>
  <si>
    <t>Agathe</t>
  </si>
  <si>
    <t>Unbelievable pastries, pandan croissant is a must. Also in South Melbourne Market</t>
  </si>
  <si>
    <t>https://maps.app.goo.gl/dpCG4735kN8cPFD86</t>
  </si>
  <si>
    <t>Apollo Inn</t>
  </si>
  <si>
    <t>Very cosy cocktail bar, associated with Gimlet next door</t>
  </si>
  <si>
    <t>https://maps.app.goo.gl/2DiLGt4nnzw4DDMD7</t>
  </si>
  <si>
    <t>Really nice whiskey bar, huge selection</t>
  </si>
  <si>
    <t>Bar</t>
  </si>
  <si>
    <t>https://maps.app.goo.gl/sCvB7a2a9vqb23y58</t>
  </si>
  <si>
    <t>Whisky Den</t>
  </si>
  <si>
    <t>Whisky and Alement</t>
  </si>
  <si>
    <t>https://maps.app.goo.gl/h4a6oen8vnUDEjoD7</t>
  </si>
  <si>
    <t>Great Whisky bar, whisky tasting classes upstairs</t>
  </si>
  <si>
    <t>The Meatball and Wine Bar</t>
  </si>
  <si>
    <t>https://maps.app.goo.gl/Hy7tJrTEkmxu6inCA</t>
  </si>
  <si>
    <t>Really simple menu, incredbily tasty. Great for a quick bite</t>
  </si>
  <si>
    <t>https://maps.app.goo.gl/U3E6Xd7mmZMFjMKw5</t>
  </si>
  <si>
    <t>Beneath Driver Lane</t>
  </si>
  <si>
    <t>Really trend Jazz and Whisky bar</t>
  </si>
  <si>
    <t>Hectors Deli</t>
  </si>
  <si>
    <t>Best sandwiches in Melbourne</t>
  </si>
  <si>
    <t>https://maps.app.goo.gl/1xvKmea1kiJLKABm8</t>
  </si>
  <si>
    <t>Lunch</t>
  </si>
  <si>
    <t>Raya</t>
  </si>
  <si>
    <t>Handy spot for a sandwich and coffee</t>
  </si>
  <si>
    <t>https://maps.app.goo.gl/gvFMdWq79vgeUpru5</t>
  </si>
  <si>
    <t>Warkop</t>
  </si>
  <si>
    <t>Indonesian</t>
  </si>
  <si>
    <t>https://maps.app.goo.gl/TA1eYrf4RopcCH4M7</t>
  </si>
  <si>
    <t>Great sandwiches and bacon &amp; egg if you're early enough.</t>
  </si>
  <si>
    <t>Butchers Diner</t>
  </si>
  <si>
    <t>High-end chipper. Amazing burgers and toasties for the end of a night out</t>
  </si>
  <si>
    <t>Quick Eats</t>
  </si>
  <si>
    <t>https://maps.app.goo.gl/TL8r1t6cWu3DXyjFA</t>
  </si>
  <si>
    <t>https://maps.app.goo.gl/1R5LNXnBeD22U3Ef9</t>
  </si>
  <si>
    <t>Roccos Bologna Discoteca</t>
  </si>
  <si>
    <t>Unreal Meatball Sub</t>
  </si>
  <si>
    <t>Roccella</t>
  </si>
  <si>
    <t>Really nice italian, loads of seats, great pizza</t>
  </si>
  <si>
    <t>https://maps.app.goo.gl/bhtsA4nAYEpJfwAd6</t>
  </si>
  <si>
    <t>Prince Alfred</t>
  </si>
  <si>
    <t>Large pub with nice beer garden. Great for groups</t>
  </si>
  <si>
    <t>https://maps.app.goo.gl/K9N6M65H5WWw6VBQ8</t>
  </si>
  <si>
    <t>Humble Rays</t>
  </si>
  <si>
    <t>Great Brunch spot, super fancy eggs benedict</t>
  </si>
  <si>
    <t>https://maps.app.goo.gl/cbuR6ZG3AHkFScYUA</t>
  </si>
  <si>
    <t>Maverick</t>
  </si>
  <si>
    <t>Tasty Brunch spot</t>
  </si>
  <si>
    <t>https://maps.app.goo.gl/3X7G9zPVmJGrDKBZ6</t>
  </si>
  <si>
    <t>Plenty of tasty  meat and sushi. Very cool décor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</si>
</sst>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0398-5E3D-42F9-829F-76BDA5454F49}">
  <dimension ref="A1:M66"/>
  <sheetViews>
    <sheetView tabSelected="1" topLeftCell="C1" zoomScale="107" zoomScaleNormal="120" workbookViewId="0">
      <pane ySplit="1" topLeftCell="A44" activePane="bottomLeft" state="frozen"/>
      <selection pane="bottomLeft" activeCell="F40" sqref="F40:G66"/>
    </sheetView>
  </sheetViews>
  <sheetFormatPr defaultRowHeight="14.25" x14ac:dyDescent="0.45"/>
  <cols>
    <col min="1" max="1" width="15.19921875" customWidth="1"/>
    <col min="2" max="2" width="9.59765625" customWidth="1"/>
    <col min="3" max="3" width="12.9296875" customWidth="1"/>
    <col min="4" max="4" width="14.19921875" customWidth="1"/>
    <col min="5" max="5" width="66.3984375" customWidth="1"/>
    <col min="6" max="6" width="12.9296875" customWidth="1"/>
    <col min="7" max="7" width="17.265625" customWidth="1"/>
    <col min="8" max="8" width="29.19921875" customWidth="1"/>
    <col min="9" max="9" width="11.59765625" customWidth="1"/>
    <col min="10" max="10" width="12.6640625" customWidth="1"/>
    <col min="11" max="11" width="10.06640625" customWidth="1"/>
    <col min="12" max="12" width="13.9296875" customWidth="1"/>
    <col min="13" max="13" width="12.6640625" style="1" customWidth="1"/>
  </cols>
  <sheetData>
    <row r="1" spans="1:13" x14ac:dyDescent="0.45">
      <c r="A1" t="s">
        <v>50</v>
      </c>
      <c r="B1" t="s">
        <v>51</v>
      </c>
      <c r="C1" t="s">
        <v>99</v>
      </c>
      <c r="D1" t="s">
        <v>140</v>
      </c>
      <c r="E1" t="s">
        <v>52</v>
      </c>
      <c r="F1" t="s">
        <v>98</v>
      </c>
      <c r="G1" t="s">
        <v>97</v>
      </c>
      <c r="H1" t="s">
        <v>103</v>
      </c>
      <c r="I1" t="s">
        <v>53</v>
      </c>
      <c r="J1" t="s">
        <v>56</v>
      </c>
      <c r="K1" t="s">
        <v>54</v>
      </c>
      <c r="L1" t="s">
        <v>55</v>
      </c>
      <c r="M1" s="1" t="s">
        <v>57</v>
      </c>
    </row>
    <row r="2" spans="1:13" x14ac:dyDescent="0.45">
      <c r="A2" t="s">
        <v>45</v>
      </c>
      <c r="B2" s="1">
        <f t="shared" ref="B2:B66" si="0">ROUND(M2,0)</f>
        <v>94</v>
      </c>
      <c r="C2" t="s">
        <v>33</v>
      </c>
      <c r="D2" t="s">
        <v>141</v>
      </c>
      <c r="E2" t="s">
        <v>104</v>
      </c>
      <c r="F2">
        <v>-37.819744399999998</v>
      </c>
      <c r="G2">
        <v>145.00502520000001</v>
      </c>
      <c r="H2" t="s">
        <v>58</v>
      </c>
      <c r="I2" t="s">
        <v>146</v>
      </c>
      <c r="J2">
        <v>5</v>
      </c>
      <c r="K2">
        <v>98</v>
      </c>
      <c r="L2">
        <v>98</v>
      </c>
      <c r="M2" s="1">
        <f t="shared" ref="M2:M66" si="1">((((3*K2)+(2*L2))-(5*J2))/495)*100</f>
        <v>93.939393939393938</v>
      </c>
    </row>
    <row r="3" spans="1:13" x14ac:dyDescent="0.45">
      <c r="A3" t="s">
        <v>100</v>
      </c>
      <c r="B3" s="1">
        <f t="shared" si="0"/>
        <v>93</v>
      </c>
      <c r="C3" t="s">
        <v>33</v>
      </c>
      <c r="D3" t="s">
        <v>141</v>
      </c>
      <c r="E3" t="s">
        <v>105</v>
      </c>
      <c r="F3">
        <v>-37.816214700000003</v>
      </c>
      <c r="G3">
        <v>144.96879939999999</v>
      </c>
      <c r="H3" t="s">
        <v>59</v>
      </c>
      <c r="I3" t="s">
        <v>146</v>
      </c>
      <c r="J3">
        <v>5</v>
      </c>
      <c r="K3">
        <v>96</v>
      </c>
      <c r="L3">
        <v>98</v>
      </c>
      <c r="M3" s="1">
        <f t="shared" si="1"/>
        <v>92.72727272727272</v>
      </c>
    </row>
    <row r="4" spans="1:13" x14ac:dyDescent="0.45">
      <c r="A4" t="s">
        <v>49</v>
      </c>
      <c r="B4" s="1">
        <f t="shared" si="0"/>
        <v>93</v>
      </c>
      <c r="C4" t="s">
        <v>30</v>
      </c>
      <c r="D4" t="s">
        <v>142</v>
      </c>
      <c r="E4" t="s">
        <v>106</v>
      </c>
      <c r="F4">
        <v>-37.855813300000001</v>
      </c>
      <c r="G4">
        <v>145.02494609999999</v>
      </c>
      <c r="H4" t="s">
        <v>60</v>
      </c>
      <c r="I4" t="s">
        <v>146</v>
      </c>
      <c r="J4">
        <v>5</v>
      </c>
      <c r="K4">
        <v>97</v>
      </c>
      <c r="L4">
        <v>98</v>
      </c>
      <c r="M4" s="1">
        <f t="shared" si="1"/>
        <v>93.333333333333329</v>
      </c>
    </row>
    <row r="5" spans="1:13" x14ac:dyDescent="0.45">
      <c r="A5" t="s">
        <v>3</v>
      </c>
      <c r="B5" s="1">
        <f t="shared" si="0"/>
        <v>91</v>
      </c>
      <c r="C5" t="s">
        <v>31</v>
      </c>
      <c r="D5" t="s">
        <v>141</v>
      </c>
      <c r="E5" t="s">
        <v>107</v>
      </c>
      <c r="F5">
        <v>-37.815699100000003</v>
      </c>
      <c r="G5">
        <v>144.97141070000001</v>
      </c>
      <c r="H5" t="s">
        <v>61</v>
      </c>
      <c r="I5" t="s">
        <v>147</v>
      </c>
      <c r="J5">
        <v>3.5</v>
      </c>
      <c r="K5">
        <v>93</v>
      </c>
      <c r="L5">
        <v>94</v>
      </c>
      <c r="M5" s="1">
        <f t="shared" si="1"/>
        <v>90.808080808080803</v>
      </c>
    </row>
    <row r="6" spans="1:13" x14ac:dyDescent="0.45">
      <c r="A6" t="s">
        <v>0</v>
      </c>
      <c r="B6" s="1">
        <f t="shared" si="0"/>
        <v>90</v>
      </c>
      <c r="C6" t="s">
        <v>26</v>
      </c>
      <c r="D6" t="s">
        <v>143</v>
      </c>
      <c r="E6" t="s">
        <v>138</v>
      </c>
      <c r="F6">
        <v>-37.812163599999998</v>
      </c>
      <c r="G6">
        <v>144.97241320000001</v>
      </c>
      <c r="H6" t="s">
        <v>62</v>
      </c>
      <c r="I6" t="s">
        <v>147</v>
      </c>
      <c r="J6">
        <v>4.5</v>
      </c>
      <c r="K6">
        <v>94</v>
      </c>
      <c r="L6">
        <v>94</v>
      </c>
      <c r="M6" s="1">
        <f t="shared" si="1"/>
        <v>90.404040404040416</v>
      </c>
    </row>
    <row r="7" spans="1:13" x14ac:dyDescent="0.45">
      <c r="A7" t="s">
        <v>6</v>
      </c>
      <c r="B7" s="1">
        <f t="shared" si="0"/>
        <v>89</v>
      </c>
      <c r="C7" t="s">
        <v>37</v>
      </c>
      <c r="D7" t="s">
        <v>144</v>
      </c>
      <c r="E7" t="s">
        <v>108</v>
      </c>
      <c r="F7">
        <v>-37.816716700000001</v>
      </c>
      <c r="G7">
        <v>144.96914169999999</v>
      </c>
      <c r="H7" t="s">
        <v>63</v>
      </c>
      <c r="I7" t="s">
        <v>147</v>
      </c>
      <c r="J7">
        <v>4</v>
      </c>
      <c r="K7">
        <v>94</v>
      </c>
      <c r="L7">
        <v>90</v>
      </c>
      <c r="M7" s="1">
        <f t="shared" si="1"/>
        <v>89.292929292929287</v>
      </c>
    </row>
    <row r="8" spans="1:13" x14ac:dyDescent="0.45">
      <c r="A8" t="s">
        <v>9</v>
      </c>
      <c r="B8" s="1">
        <f t="shared" si="0"/>
        <v>89</v>
      </c>
      <c r="C8" t="s">
        <v>33</v>
      </c>
      <c r="D8" t="s">
        <v>141</v>
      </c>
      <c r="E8" t="s">
        <v>109</v>
      </c>
      <c r="F8">
        <v>-37.816099999999999</v>
      </c>
      <c r="G8">
        <v>144.96879939999999</v>
      </c>
      <c r="H8" t="s">
        <v>59</v>
      </c>
      <c r="I8" t="s">
        <v>146</v>
      </c>
      <c r="J8">
        <v>4.5</v>
      </c>
      <c r="K8">
        <v>95</v>
      </c>
      <c r="L8">
        <v>90</v>
      </c>
      <c r="M8" s="1">
        <f t="shared" si="1"/>
        <v>89.393939393939391</v>
      </c>
    </row>
    <row r="9" spans="1:13" x14ac:dyDescent="0.45">
      <c r="A9" t="s">
        <v>13</v>
      </c>
      <c r="B9" s="1">
        <f t="shared" si="0"/>
        <v>88</v>
      </c>
      <c r="C9" t="s">
        <v>28</v>
      </c>
      <c r="D9" t="s">
        <v>144</v>
      </c>
      <c r="E9" t="s">
        <v>139</v>
      </c>
      <c r="F9">
        <v>-37.814523000000001</v>
      </c>
      <c r="G9">
        <v>144.974164</v>
      </c>
      <c r="H9" t="s">
        <v>64</v>
      </c>
      <c r="I9" t="s">
        <v>148</v>
      </c>
      <c r="J9">
        <v>2.5</v>
      </c>
      <c r="K9">
        <v>89</v>
      </c>
      <c r="L9">
        <v>90</v>
      </c>
      <c r="M9" s="1">
        <f t="shared" si="1"/>
        <v>87.777777777777771</v>
      </c>
    </row>
    <row r="10" spans="1:13" x14ac:dyDescent="0.45">
      <c r="A10" t="s">
        <v>154</v>
      </c>
      <c r="B10" s="1">
        <f t="shared" si="0"/>
        <v>88</v>
      </c>
      <c r="C10" t="s">
        <v>27</v>
      </c>
      <c r="D10" t="s">
        <v>144</v>
      </c>
      <c r="E10" t="s">
        <v>110</v>
      </c>
      <c r="F10">
        <v>-37.813552199999997</v>
      </c>
      <c r="G10">
        <v>144.9619835</v>
      </c>
      <c r="H10" t="s">
        <v>65</v>
      </c>
      <c r="I10" t="s">
        <v>147</v>
      </c>
      <c r="J10">
        <v>4</v>
      </c>
      <c r="K10">
        <v>92</v>
      </c>
      <c r="L10">
        <v>90</v>
      </c>
      <c r="M10" s="1">
        <f t="shared" si="1"/>
        <v>88.080808080808083</v>
      </c>
    </row>
    <row r="11" spans="1:13" x14ac:dyDescent="0.45">
      <c r="A11" t="s">
        <v>12</v>
      </c>
      <c r="B11" s="1">
        <f t="shared" si="0"/>
        <v>87</v>
      </c>
      <c r="C11" t="s">
        <v>36</v>
      </c>
      <c r="D11" t="s">
        <v>144</v>
      </c>
      <c r="E11" t="s">
        <v>111</v>
      </c>
      <c r="F11">
        <v>-37.813279100000003</v>
      </c>
      <c r="G11">
        <v>144.96851409999999</v>
      </c>
      <c r="H11" t="s">
        <v>66</v>
      </c>
      <c r="I11" t="s">
        <v>147</v>
      </c>
      <c r="J11">
        <v>4</v>
      </c>
      <c r="K11">
        <v>89</v>
      </c>
      <c r="L11">
        <v>92</v>
      </c>
      <c r="M11" s="1">
        <f t="shared" si="1"/>
        <v>87.070707070707059</v>
      </c>
    </row>
    <row r="12" spans="1:13" x14ac:dyDescent="0.45">
      <c r="A12" t="s">
        <v>46</v>
      </c>
      <c r="B12" s="1">
        <f t="shared" si="0"/>
        <v>87</v>
      </c>
      <c r="C12" t="s">
        <v>29</v>
      </c>
      <c r="D12" t="s">
        <v>141</v>
      </c>
      <c r="E12" t="s">
        <v>112</v>
      </c>
      <c r="F12">
        <v>-37.815992799999997</v>
      </c>
      <c r="G12">
        <v>144.96995380000001</v>
      </c>
      <c r="H12" t="s">
        <v>67</v>
      </c>
      <c r="I12" t="s">
        <v>147</v>
      </c>
      <c r="J12">
        <v>3.5</v>
      </c>
      <c r="K12">
        <v>89</v>
      </c>
      <c r="L12">
        <v>90</v>
      </c>
      <c r="M12" s="1">
        <f t="shared" si="1"/>
        <v>86.767676767676775</v>
      </c>
    </row>
    <row r="13" spans="1:13" x14ac:dyDescent="0.45">
      <c r="A13" t="s">
        <v>2</v>
      </c>
      <c r="B13" s="1">
        <f t="shared" si="0"/>
        <v>86</v>
      </c>
      <c r="C13" t="s">
        <v>34</v>
      </c>
      <c r="D13" t="s">
        <v>145</v>
      </c>
      <c r="E13" t="s">
        <v>113</v>
      </c>
      <c r="F13">
        <v>-37.8181528</v>
      </c>
      <c r="G13">
        <v>144.96266199999999</v>
      </c>
      <c r="H13" t="s">
        <v>68</v>
      </c>
      <c r="I13" t="s">
        <v>146</v>
      </c>
      <c r="J13">
        <v>5</v>
      </c>
      <c r="K13">
        <v>92</v>
      </c>
      <c r="L13">
        <v>88</v>
      </c>
      <c r="M13" s="1">
        <f t="shared" si="1"/>
        <v>86.26262626262627</v>
      </c>
    </row>
    <row r="14" spans="1:13" x14ac:dyDescent="0.45">
      <c r="A14" t="s">
        <v>15</v>
      </c>
      <c r="B14" s="1">
        <f t="shared" si="0"/>
        <v>86</v>
      </c>
      <c r="C14" t="s">
        <v>44</v>
      </c>
      <c r="D14" t="s">
        <v>141</v>
      </c>
      <c r="E14" t="s">
        <v>114</v>
      </c>
      <c r="F14">
        <v>-37.813893700000001</v>
      </c>
      <c r="G14">
        <v>144.96168950000001</v>
      </c>
      <c r="H14" t="s">
        <v>69</v>
      </c>
      <c r="I14" t="s">
        <v>147</v>
      </c>
      <c r="J14">
        <v>4</v>
      </c>
      <c r="K14">
        <v>90</v>
      </c>
      <c r="L14">
        <v>89</v>
      </c>
      <c r="M14" s="1">
        <f t="shared" si="1"/>
        <v>86.464646464646464</v>
      </c>
    </row>
    <row r="15" spans="1:13" x14ac:dyDescent="0.45">
      <c r="A15" t="s">
        <v>10</v>
      </c>
      <c r="B15" s="1">
        <f t="shared" si="0"/>
        <v>85</v>
      </c>
      <c r="C15" t="s">
        <v>42</v>
      </c>
      <c r="D15" t="s">
        <v>141</v>
      </c>
      <c r="E15" t="s">
        <v>245</v>
      </c>
      <c r="F15">
        <v>-37.815804300000003</v>
      </c>
      <c r="G15">
        <v>144.97253459999999</v>
      </c>
      <c r="H15" t="s">
        <v>70</v>
      </c>
      <c r="I15" t="s">
        <v>147</v>
      </c>
      <c r="J15">
        <v>4</v>
      </c>
      <c r="K15">
        <v>87</v>
      </c>
      <c r="L15">
        <v>89</v>
      </c>
      <c r="M15" s="1">
        <f t="shared" si="1"/>
        <v>84.646464646464651</v>
      </c>
    </row>
    <row r="16" spans="1:13" x14ac:dyDescent="0.45">
      <c r="A16" t="s">
        <v>1</v>
      </c>
      <c r="B16" s="1">
        <f t="shared" si="0"/>
        <v>85</v>
      </c>
      <c r="C16" t="s">
        <v>39</v>
      </c>
      <c r="D16" t="s">
        <v>143</v>
      </c>
      <c r="E16" t="s">
        <v>115</v>
      </c>
      <c r="F16">
        <v>-37.815840299999998</v>
      </c>
      <c r="G16">
        <v>144.9710359</v>
      </c>
      <c r="H16" t="s">
        <v>71</v>
      </c>
      <c r="I16" t="s">
        <v>147</v>
      </c>
      <c r="J16">
        <v>3.5</v>
      </c>
      <c r="K16">
        <v>89</v>
      </c>
      <c r="L16">
        <v>85</v>
      </c>
      <c r="M16" s="1">
        <f t="shared" si="1"/>
        <v>84.747474747474755</v>
      </c>
    </row>
    <row r="17" spans="1:13" x14ac:dyDescent="0.45">
      <c r="A17" t="s">
        <v>18</v>
      </c>
      <c r="B17" s="1">
        <f t="shared" si="0"/>
        <v>85</v>
      </c>
      <c r="C17" t="s">
        <v>32</v>
      </c>
      <c r="D17" t="s">
        <v>144</v>
      </c>
      <c r="E17" t="s">
        <v>116</v>
      </c>
      <c r="F17">
        <v>-37.805473399999997</v>
      </c>
      <c r="G17">
        <v>144.97585419999999</v>
      </c>
      <c r="H17" t="s">
        <v>73</v>
      </c>
      <c r="I17" t="s">
        <v>148</v>
      </c>
      <c r="J17">
        <v>4</v>
      </c>
      <c r="K17">
        <v>89</v>
      </c>
      <c r="L17">
        <v>87</v>
      </c>
      <c r="M17" s="1">
        <f t="shared" si="1"/>
        <v>85.050505050505052</v>
      </c>
    </row>
    <row r="18" spans="1:13" x14ac:dyDescent="0.45">
      <c r="A18" t="s">
        <v>14</v>
      </c>
      <c r="B18" s="1">
        <f t="shared" si="0"/>
        <v>85</v>
      </c>
      <c r="C18" t="s">
        <v>28</v>
      </c>
      <c r="D18" t="s">
        <v>142</v>
      </c>
      <c r="E18" t="s">
        <v>117</v>
      </c>
      <c r="F18">
        <v>-37.813394000000002</v>
      </c>
      <c r="G18">
        <v>144.9686092</v>
      </c>
      <c r="H18" t="s">
        <v>74</v>
      </c>
      <c r="I18" t="s">
        <v>148</v>
      </c>
      <c r="J18">
        <v>4</v>
      </c>
      <c r="K18">
        <v>90</v>
      </c>
      <c r="L18">
        <v>86</v>
      </c>
      <c r="M18" s="1">
        <f t="shared" si="1"/>
        <v>85.25252525252526</v>
      </c>
    </row>
    <row r="19" spans="1:13" x14ac:dyDescent="0.45">
      <c r="A19" t="s">
        <v>11</v>
      </c>
      <c r="B19" s="1">
        <f t="shared" si="0"/>
        <v>85</v>
      </c>
      <c r="C19" t="s">
        <v>30</v>
      </c>
      <c r="D19" t="s">
        <v>142</v>
      </c>
      <c r="E19" t="s">
        <v>118</v>
      </c>
      <c r="F19">
        <v>-37.814913199999999</v>
      </c>
      <c r="G19">
        <v>144.97312289999999</v>
      </c>
      <c r="H19" t="s">
        <v>75</v>
      </c>
      <c r="I19" t="s">
        <v>147</v>
      </c>
      <c r="J19">
        <v>3.5</v>
      </c>
      <c r="K19">
        <v>90</v>
      </c>
      <c r="L19">
        <v>85</v>
      </c>
      <c r="M19" s="1">
        <f t="shared" si="1"/>
        <v>85.353535353535349</v>
      </c>
    </row>
    <row r="20" spans="1:13" x14ac:dyDescent="0.45">
      <c r="A20" t="s">
        <v>8</v>
      </c>
      <c r="B20" s="1">
        <f t="shared" si="0"/>
        <v>84</v>
      </c>
      <c r="C20" t="s">
        <v>30</v>
      </c>
      <c r="D20" t="s">
        <v>142</v>
      </c>
      <c r="E20" t="s">
        <v>119</v>
      </c>
      <c r="F20">
        <v>-37.815887199999999</v>
      </c>
      <c r="G20">
        <v>144.96873160000001</v>
      </c>
      <c r="H20" t="s">
        <v>76</v>
      </c>
      <c r="I20" t="s">
        <v>147</v>
      </c>
      <c r="J20">
        <v>4</v>
      </c>
      <c r="K20">
        <v>86</v>
      </c>
      <c r="L20">
        <v>89</v>
      </c>
      <c r="M20" s="1">
        <f t="shared" si="1"/>
        <v>84.040404040404042</v>
      </c>
    </row>
    <row r="21" spans="1:13" x14ac:dyDescent="0.45">
      <c r="A21" t="s">
        <v>7</v>
      </c>
      <c r="B21" s="1">
        <f t="shared" si="0"/>
        <v>84</v>
      </c>
      <c r="C21" t="s">
        <v>34</v>
      </c>
      <c r="D21" t="s">
        <v>145</v>
      </c>
      <c r="E21" t="s">
        <v>120</v>
      </c>
      <c r="F21">
        <v>-37.816189100000003</v>
      </c>
      <c r="G21">
        <v>144.9683115</v>
      </c>
      <c r="H21" t="s">
        <v>77</v>
      </c>
      <c r="I21" t="s">
        <v>147</v>
      </c>
      <c r="J21">
        <v>4</v>
      </c>
      <c r="K21">
        <v>87</v>
      </c>
      <c r="L21">
        <v>88</v>
      </c>
      <c r="M21" s="1">
        <f t="shared" si="1"/>
        <v>84.242424242424235</v>
      </c>
    </row>
    <row r="22" spans="1:13" x14ac:dyDescent="0.45">
      <c r="A22" t="s">
        <v>20</v>
      </c>
      <c r="B22" s="1">
        <f t="shared" si="0"/>
        <v>84</v>
      </c>
      <c r="C22" t="s">
        <v>30</v>
      </c>
      <c r="D22" t="s">
        <v>142</v>
      </c>
      <c r="E22" t="s">
        <v>121</v>
      </c>
      <c r="F22">
        <v>-37.805464999999998</v>
      </c>
      <c r="G22">
        <v>144.97589930000001</v>
      </c>
      <c r="H22" t="s">
        <v>72</v>
      </c>
      <c r="I22" t="s">
        <v>147</v>
      </c>
      <c r="J22">
        <v>3.5</v>
      </c>
      <c r="K22">
        <v>87</v>
      </c>
      <c r="L22">
        <v>87</v>
      </c>
      <c r="M22" s="1">
        <f t="shared" si="1"/>
        <v>84.343434343434339</v>
      </c>
    </row>
    <row r="23" spans="1:13" x14ac:dyDescent="0.45">
      <c r="A23" t="s">
        <v>19</v>
      </c>
      <c r="B23" s="1">
        <f t="shared" si="0"/>
        <v>83</v>
      </c>
      <c r="C23" t="s">
        <v>41</v>
      </c>
      <c r="D23" t="s">
        <v>143</v>
      </c>
      <c r="E23" t="s">
        <v>122</v>
      </c>
      <c r="F23">
        <v>-37.8063845</v>
      </c>
      <c r="G23">
        <v>144.98510970000001</v>
      </c>
      <c r="H23" t="s">
        <v>78</v>
      </c>
      <c r="I23" t="s">
        <v>147</v>
      </c>
      <c r="J23">
        <v>3.5</v>
      </c>
      <c r="K23">
        <v>84</v>
      </c>
      <c r="L23">
        <v>88</v>
      </c>
      <c r="M23" s="1">
        <f t="shared" si="1"/>
        <v>82.929292929292927</v>
      </c>
    </row>
    <row r="24" spans="1:13" x14ac:dyDescent="0.45">
      <c r="A24" t="s">
        <v>17</v>
      </c>
      <c r="B24" s="1">
        <f t="shared" si="0"/>
        <v>83</v>
      </c>
      <c r="C24" t="s">
        <v>43</v>
      </c>
      <c r="D24" t="s">
        <v>141</v>
      </c>
      <c r="E24" t="s">
        <v>123</v>
      </c>
      <c r="F24">
        <v>-37.795028600000002</v>
      </c>
      <c r="G24">
        <v>144.9792506</v>
      </c>
      <c r="H24" t="s">
        <v>79</v>
      </c>
      <c r="I24" t="s">
        <v>147</v>
      </c>
      <c r="J24">
        <v>3.5</v>
      </c>
      <c r="K24">
        <v>90</v>
      </c>
      <c r="L24">
        <v>80</v>
      </c>
      <c r="M24" s="1">
        <f t="shared" si="1"/>
        <v>83.333333333333343</v>
      </c>
    </row>
    <row r="25" spans="1:13" x14ac:dyDescent="0.45">
      <c r="A25" t="s">
        <v>4</v>
      </c>
      <c r="B25" s="1">
        <f t="shared" si="0"/>
        <v>82</v>
      </c>
      <c r="C25" t="s">
        <v>35</v>
      </c>
      <c r="D25" t="s">
        <v>143</v>
      </c>
      <c r="E25" t="s">
        <v>124</v>
      </c>
      <c r="F25">
        <v>-37.8136394</v>
      </c>
      <c r="G25">
        <v>144.9733909</v>
      </c>
      <c r="H25" t="s">
        <v>80</v>
      </c>
      <c r="I25" t="s">
        <v>147</v>
      </c>
      <c r="J25">
        <v>3.5</v>
      </c>
      <c r="K25">
        <v>85</v>
      </c>
      <c r="L25">
        <v>85</v>
      </c>
      <c r="M25" s="1">
        <f t="shared" si="1"/>
        <v>82.323232323232318</v>
      </c>
    </row>
    <row r="26" spans="1:13" x14ac:dyDescent="0.45">
      <c r="A26" t="s">
        <v>82</v>
      </c>
      <c r="B26" s="1">
        <f t="shared" si="0"/>
        <v>82</v>
      </c>
      <c r="C26" t="s">
        <v>28</v>
      </c>
      <c r="D26" t="s">
        <v>142</v>
      </c>
      <c r="E26" t="s">
        <v>125</v>
      </c>
      <c r="F26">
        <v>-37.864322399999999</v>
      </c>
      <c r="G26">
        <v>144.98226339999999</v>
      </c>
      <c r="H26" t="s">
        <v>81</v>
      </c>
      <c r="I26" t="s">
        <v>147</v>
      </c>
      <c r="J26">
        <v>2.5</v>
      </c>
      <c r="K26">
        <v>84</v>
      </c>
      <c r="L26">
        <v>84</v>
      </c>
      <c r="M26" s="1">
        <f t="shared" si="1"/>
        <v>82.323232323232318</v>
      </c>
    </row>
    <row r="27" spans="1:13" x14ac:dyDescent="0.45">
      <c r="A27" t="s">
        <v>16</v>
      </c>
      <c r="B27" s="1">
        <f t="shared" si="0"/>
        <v>81</v>
      </c>
      <c r="C27" t="s">
        <v>32</v>
      </c>
      <c r="D27" t="s">
        <v>144</v>
      </c>
      <c r="E27" t="s">
        <v>126</v>
      </c>
      <c r="F27">
        <v>-37.849426999999999</v>
      </c>
      <c r="G27">
        <v>144.99151900000001</v>
      </c>
      <c r="H27" t="s">
        <v>83</v>
      </c>
      <c r="I27" t="s">
        <v>147</v>
      </c>
      <c r="J27">
        <v>3.5</v>
      </c>
      <c r="K27">
        <v>80</v>
      </c>
      <c r="L27">
        <v>88</v>
      </c>
      <c r="M27" s="1">
        <f t="shared" si="1"/>
        <v>80.505050505050505</v>
      </c>
    </row>
    <row r="28" spans="1:13" x14ac:dyDescent="0.45">
      <c r="A28" t="s">
        <v>22</v>
      </c>
      <c r="B28" s="1">
        <f t="shared" si="0"/>
        <v>81</v>
      </c>
      <c r="C28" t="s">
        <v>28</v>
      </c>
      <c r="D28" t="s">
        <v>142</v>
      </c>
      <c r="E28" t="s">
        <v>127</v>
      </c>
      <c r="F28">
        <v>-37.810980200000003</v>
      </c>
      <c r="G28">
        <v>144.97253789999999</v>
      </c>
      <c r="H28" t="s">
        <v>84</v>
      </c>
      <c r="I28" t="s">
        <v>148</v>
      </c>
      <c r="J28">
        <v>3</v>
      </c>
      <c r="K28">
        <v>86</v>
      </c>
      <c r="L28">
        <v>78</v>
      </c>
      <c r="M28" s="1">
        <f t="shared" si="1"/>
        <v>80.606060606060609</v>
      </c>
    </row>
    <row r="29" spans="1:13" x14ac:dyDescent="0.45">
      <c r="A29" t="s">
        <v>5</v>
      </c>
      <c r="B29" s="1">
        <f t="shared" si="0"/>
        <v>81</v>
      </c>
      <c r="C29" t="s">
        <v>35</v>
      </c>
      <c r="D29" t="s">
        <v>143</v>
      </c>
      <c r="E29" t="s">
        <v>128</v>
      </c>
      <c r="F29">
        <v>-37.816451299999997</v>
      </c>
      <c r="G29">
        <v>144.96909969999999</v>
      </c>
      <c r="H29" t="s">
        <v>85</v>
      </c>
      <c r="I29" t="s">
        <v>147</v>
      </c>
      <c r="J29">
        <v>3.5</v>
      </c>
      <c r="K29">
        <v>83</v>
      </c>
      <c r="L29">
        <v>85</v>
      </c>
      <c r="M29" s="1">
        <f t="shared" si="1"/>
        <v>81.111111111111114</v>
      </c>
    </row>
    <row r="30" spans="1:13" x14ac:dyDescent="0.45">
      <c r="A30" t="s">
        <v>47</v>
      </c>
      <c r="B30" s="1">
        <f t="shared" si="0"/>
        <v>81</v>
      </c>
      <c r="C30" t="s">
        <v>48</v>
      </c>
      <c r="D30" t="s">
        <v>145</v>
      </c>
      <c r="E30" t="s">
        <v>129</v>
      </c>
      <c r="F30">
        <v>-37.788539800000002</v>
      </c>
      <c r="G30">
        <v>144.9318371</v>
      </c>
      <c r="H30" t="s">
        <v>86</v>
      </c>
      <c r="I30" t="s">
        <v>147</v>
      </c>
      <c r="J30">
        <v>2</v>
      </c>
      <c r="K30">
        <v>84</v>
      </c>
      <c r="L30">
        <v>80</v>
      </c>
      <c r="M30" s="1">
        <f t="shared" si="1"/>
        <v>81.212121212121218</v>
      </c>
    </row>
    <row r="31" spans="1:13" x14ac:dyDescent="0.45">
      <c r="A31" t="s">
        <v>101</v>
      </c>
      <c r="B31" s="1">
        <f t="shared" si="0"/>
        <v>80</v>
      </c>
      <c r="C31" t="s">
        <v>30</v>
      </c>
      <c r="D31" t="s">
        <v>142</v>
      </c>
      <c r="E31" t="s">
        <v>130</v>
      </c>
      <c r="F31">
        <v>-37.813554099999998</v>
      </c>
      <c r="G31">
        <v>144.97102520000001</v>
      </c>
      <c r="H31" t="s">
        <v>87</v>
      </c>
      <c r="I31" t="s">
        <v>146</v>
      </c>
      <c r="J31">
        <v>5</v>
      </c>
      <c r="K31">
        <v>87</v>
      </c>
      <c r="L31">
        <v>80</v>
      </c>
      <c r="M31" s="1">
        <f t="shared" si="1"/>
        <v>80</v>
      </c>
    </row>
    <row r="32" spans="1:13" x14ac:dyDescent="0.45">
      <c r="A32" t="s">
        <v>21</v>
      </c>
      <c r="B32" s="1">
        <f t="shared" si="0"/>
        <v>79</v>
      </c>
      <c r="C32" t="s">
        <v>40</v>
      </c>
      <c r="D32" t="s">
        <v>142</v>
      </c>
      <c r="E32" t="s">
        <v>131</v>
      </c>
      <c r="F32">
        <v>-37.810779599999996</v>
      </c>
      <c r="G32">
        <v>144.97079550000001</v>
      </c>
      <c r="H32" t="s">
        <v>88</v>
      </c>
      <c r="I32" t="s">
        <v>149</v>
      </c>
      <c r="J32">
        <v>3</v>
      </c>
      <c r="K32">
        <v>80</v>
      </c>
      <c r="L32">
        <v>82</v>
      </c>
      <c r="M32" s="1">
        <f t="shared" si="1"/>
        <v>78.585858585858574</v>
      </c>
    </row>
    <row r="33" spans="1:13" x14ac:dyDescent="0.45">
      <c r="A33" t="s">
        <v>102</v>
      </c>
      <c r="B33" s="1">
        <f t="shared" si="0"/>
        <v>79</v>
      </c>
      <c r="C33" t="s">
        <v>27</v>
      </c>
      <c r="D33" t="s">
        <v>144</v>
      </c>
      <c r="E33" t="s">
        <v>132</v>
      </c>
      <c r="F33">
        <v>-37.8150555</v>
      </c>
      <c r="G33">
        <v>144.97252929999999</v>
      </c>
      <c r="H33" t="s">
        <v>89</v>
      </c>
      <c r="I33" t="s">
        <v>147</v>
      </c>
      <c r="J33">
        <v>4</v>
      </c>
      <c r="K33">
        <v>85</v>
      </c>
      <c r="L33">
        <v>78</v>
      </c>
      <c r="M33" s="1">
        <f t="shared" si="1"/>
        <v>78.98989898989899</v>
      </c>
    </row>
    <row r="34" spans="1:13" x14ac:dyDescent="0.45">
      <c r="A34" t="s">
        <v>91</v>
      </c>
      <c r="B34" s="1">
        <f t="shared" si="0"/>
        <v>78</v>
      </c>
      <c r="C34" t="s">
        <v>27</v>
      </c>
      <c r="D34" t="s">
        <v>144</v>
      </c>
      <c r="E34" t="s">
        <v>133</v>
      </c>
      <c r="F34">
        <v>-37.815333000000003</v>
      </c>
      <c r="G34">
        <v>144.96267309999999</v>
      </c>
      <c r="H34" t="s">
        <v>90</v>
      </c>
      <c r="I34" t="s">
        <v>147</v>
      </c>
      <c r="J34">
        <v>4</v>
      </c>
      <c r="K34">
        <v>80</v>
      </c>
      <c r="L34">
        <v>84</v>
      </c>
      <c r="M34" s="1">
        <f t="shared" si="1"/>
        <v>78.383838383838395</v>
      </c>
    </row>
    <row r="35" spans="1:13" x14ac:dyDescent="0.45">
      <c r="A35" t="s">
        <v>23</v>
      </c>
      <c r="B35" s="1">
        <f t="shared" si="0"/>
        <v>76</v>
      </c>
      <c r="C35" t="s">
        <v>29</v>
      </c>
      <c r="D35" t="s">
        <v>141</v>
      </c>
      <c r="E35" t="s">
        <v>134</v>
      </c>
      <c r="F35">
        <v>-37.815766099999998</v>
      </c>
      <c r="G35">
        <v>144.96988970000001</v>
      </c>
      <c r="H35" t="s">
        <v>92</v>
      </c>
      <c r="I35" t="s">
        <v>147</v>
      </c>
      <c r="J35">
        <v>3.5</v>
      </c>
      <c r="K35">
        <v>82</v>
      </c>
      <c r="L35">
        <v>74</v>
      </c>
      <c r="M35" s="1">
        <f t="shared" si="1"/>
        <v>76.060606060606062</v>
      </c>
    </row>
    <row r="36" spans="1:13" x14ac:dyDescent="0.45">
      <c r="A36" t="s">
        <v>25</v>
      </c>
      <c r="B36" s="1">
        <f t="shared" si="0"/>
        <v>74</v>
      </c>
      <c r="C36" t="s">
        <v>38</v>
      </c>
      <c r="D36" t="s">
        <v>144</v>
      </c>
      <c r="E36" t="s">
        <v>135</v>
      </c>
      <c r="F36">
        <v>-37.812815000000001</v>
      </c>
      <c r="G36">
        <v>144.97251850000001</v>
      </c>
      <c r="H36" t="s">
        <v>93</v>
      </c>
      <c r="I36" t="s">
        <v>147</v>
      </c>
      <c r="J36">
        <v>2.5</v>
      </c>
      <c r="K36">
        <v>72</v>
      </c>
      <c r="L36">
        <v>82</v>
      </c>
      <c r="M36" s="1">
        <f t="shared" si="1"/>
        <v>74.242424242424249</v>
      </c>
    </row>
    <row r="37" spans="1:13" x14ac:dyDescent="0.45">
      <c r="A37" t="s">
        <v>24</v>
      </c>
      <c r="B37" s="1">
        <f t="shared" si="0"/>
        <v>71</v>
      </c>
      <c r="C37" t="s">
        <v>31</v>
      </c>
      <c r="D37" t="s">
        <v>141</v>
      </c>
      <c r="E37" t="s">
        <v>136</v>
      </c>
      <c r="F37">
        <v>-37.815731999999997</v>
      </c>
      <c r="G37">
        <v>144.97268800000001</v>
      </c>
      <c r="H37" t="s">
        <v>94</v>
      </c>
      <c r="I37" t="s">
        <v>147</v>
      </c>
      <c r="J37">
        <v>3</v>
      </c>
      <c r="K37">
        <v>75</v>
      </c>
      <c r="L37">
        <v>70</v>
      </c>
      <c r="M37" s="1">
        <f t="shared" si="1"/>
        <v>70.707070707070713</v>
      </c>
    </row>
    <row r="38" spans="1:13" x14ac:dyDescent="0.45">
      <c r="A38" t="s">
        <v>95</v>
      </c>
      <c r="B38" s="1">
        <f t="shared" si="0"/>
        <v>62</v>
      </c>
      <c r="C38" t="s">
        <v>27</v>
      </c>
      <c r="D38" t="s">
        <v>144</v>
      </c>
      <c r="E38" t="s">
        <v>137</v>
      </c>
      <c r="F38">
        <v>-37.814254800000001</v>
      </c>
      <c r="G38">
        <v>144.974186</v>
      </c>
      <c r="H38" t="s">
        <v>96</v>
      </c>
      <c r="I38" t="s">
        <v>147</v>
      </c>
      <c r="J38">
        <v>4.5</v>
      </c>
      <c r="K38">
        <v>70</v>
      </c>
      <c r="L38">
        <v>60</v>
      </c>
      <c r="M38" s="1">
        <f t="shared" si="1"/>
        <v>62.121212121212125</v>
      </c>
    </row>
    <row r="39" spans="1:13" x14ac:dyDescent="0.45">
      <c r="A39" t="s">
        <v>150</v>
      </c>
      <c r="B39" s="1">
        <f t="shared" si="0"/>
        <v>87</v>
      </c>
      <c r="C39" t="s">
        <v>151</v>
      </c>
      <c r="D39" t="s">
        <v>141</v>
      </c>
      <c r="E39" t="s">
        <v>152</v>
      </c>
      <c r="F39">
        <v>-37.811877199999998</v>
      </c>
      <c r="G39">
        <v>144.96924580000001</v>
      </c>
      <c r="H39" t="s">
        <v>153</v>
      </c>
      <c r="I39" t="s">
        <v>146</v>
      </c>
      <c r="J39">
        <v>5</v>
      </c>
      <c r="K39">
        <v>90</v>
      </c>
      <c r="L39">
        <v>92</v>
      </c>
      <c r="M39" s="1">
        <f t="shared" si="1"/>
        <v>86.666666666666671</v>
      </c>
    </row>
    <row r="40" spans="1:13" x14ac:dyDescent="0.45">
      <c r="A40" t="s">
        <v>155</v>
      </c>
      <c r="B40" s="1">
        <f t="shared" si="0"/>
        <v>83</v>
      </c>
      <c r="C40" t="s">
        <v>29</v>
      </c>
      <c r="D40" t="s">
        <v>141</v>
      </c>
      <c r="E40" t="s">
        <v>156</v>
      </c>
      <c r="F40">
        <v>-37.809154200000002</v>
      </c>
      <c r="G40">
        <v>144.96813230000001</v>
      </c>
      <c r="H40" t="s">
        <v>157</v>
      </c>
      <c r="I40" t="s">
        <v>147</v>
      </c>
      <c r="J40">
        <v>3</v>
      </c>
      <c r="K40">
        <v>85</v>
      </c>
      <c r="L40">
        <v>85</v>
      </c>
      <c r="M40" s="1">
        <f t="shared" si="1"/>
        <v>82.828282828282823</v>
      </c>
    </row>
    <row r="41" spans="1:13" x14ac:dyDescent="0.45">
      <c r="A41" t="s">
        <v>158</v>
      </c>
      <c r="B41" s="1">
        <f t="shared" si="0"/>
        <v>85</v>
      </c>
      <c r="C41" t="s">
        <v>33</v>
      </c>
      <c r="D41" t="s">
        <v>141</v>
      </c>
      <c r="E41" t="s">
        <v>159</v>
      </c>
      <c r="F41">
        <v>-37.811734999999999</v>
      </c>
      <c r="G41">
        <v>144.96680939999999</v>
      </c>
      <c r="H41" t="s">
        <v>160</v>
      </c>
      <c r="I41" t="s">
        <v>161</v>
      </c>
      <c r="J41">
        <v>1</v>
      </c>
      <c r="K41">
        <v>88</v>
      </c>
      <c r="L41">
        <v>80</v>
      </c>
      <c r="M41" s="1">
        <f t="shared" si="1"/>
        <v>84.646464646464651</v>
      </c>
    </row>
    <row r="42" spans="1:13" x14ac:dyDescent="0.45">
      <c r="A42" t="s">
        <v>162</v>
      </c>
      <c r="B42" s="1">
        <f t="shared" si="0"/>
        <v>83</v>
      </c>
      <c r="C42" t="s">
        <v>33</v>
      </c>
      <c r="D42" t="s">
        <v>141</v>
      </c>
      <c r="E42" t="s">
        <v>163</v>
      </c>
      <c r="F42">
        <v>-37.812011900000002</v>
      </c>
      <c r="G42">
        <v>144.96738099999999</v>
      </c>
      <c r="H42" t="s">
        <v>164</v>
      </c>
      <c r="I42" t="s">
        <v>161</v>
      </c>
      <c r="J42">
        <v>1.5</v>
      </c>
      <c r="K42">
        <v>85</v>
      </c>
      <c r="L42">
        <v>82</v>
      </c>
      <c r="M42" s="1">
        <f t="shared" si="1"/>
        <v>83.131313131313135</v>
      </c>
    </row>
    <row r="43" spans="1:13" x14ac:dyDescent="0.45">
      <c r="A43" t="s">
        <v>165</v>
      </c>
      <c r="B43" s="1">
        <f t="shared" si="0"/>
        <v>79</v>
      </c>
      <c r="C43" t="s">
        <v>33</v>
      </c>
      <c r="D43" t="s">
        <v>141</v>
      </c>
      <c r="E43" t="s">
        <v>166</v>
      </c>
      <c r="F43">
        <v>-37.812676600000003</v>
      </c>
      <c r="G43">
        <v>144.9683005</v>
      </c>
      <c r="H43" t="s">
        <v>167</v>
      </c>
      <c r="I43" t="s">
        <v>161</v>
      </c>
      <c r="J43">
        <v>1.5</v>
      </c>
      <c r="K43">
        <v>80</v>
      </c>
      <c r="L43">
        <v>80</v>
      </c>
      <c r="M43" s="1">
        <f t="shared" si="1"/>
        <v>79.292929292929287</v>
      </c>
    </row>
    <row r="44" spans="1:13" x14ac:dyDescent="0.45">
      <c r="A44" t="s">
        <v>168</v>
      </c>
      <c r="B44" s="1">
        <f t="shared" si="0"/>
        <v>81</v>
      </c>
      <c r="C44" t="s">
        <v>169</v>
      </c>
      <c r="D44" t="s">
        <v>141</v>
      </c>
      <c r="E44" t="s">
        <v>170</v>
      </c>
      <c r="F44">
        <v>-37.8119345</v>
      </c>
      <c r="G44">
        <v>144.9675737</v>
      </c>
      <c r="H44" t="s">
        <v>171</v>
      </c>
      <c r="I44" t="s">
        <v>161</v>
      </c>
      <c r="J44">
        <v>2</v>
      </c>
      <c r="K44">
        <v>82</v>
      </c>
      <c r="L44">
        <v>83</v>
      </c>
      <c r="M44" s="1">
        <f t="shared" si="1"/>
        <v>81.212121212121218</v>
      </c>
    </row>
    <row r="45" spans="1:13" x14ac:dyDescent="0.45">
      <c r="A45" t="s">
        <v>172</v>
      </c>
      <c r="B45" s="1">
        <f t="shared" si="0"/>
        <v>84</v>
      </c>
      <c r="C45" t="s">
        <v>173</v>
      </c>
      <c r="D45" t="s">
        <v>141</v>
      </c>
      <c r="E45" t="s">
        <v>174</v>
      </c>
      <c r="F45">
        <v>-37.8119345</v>
      </c>
      <c r="G45">
        <v>144.9675737</v>
      </c>
      <c r="H45" t="s">
        <v>175</v>
      </c>
      <c r="I45" t="s">
        <v>161</v>
      </c>
      <c r="J45">
        <v>2</v>
      </c>
      <c r="K45">
        <v>85</v>
      </c>
      <c r="L45">
        <v>85</v>
      </c>
      <c r="M45" s="1">
        <f t="shared" si="1"/>
        <v>83.838383838383834</v>
      </c>
    </row>
    <row r="46" spans="1:13" x14ac:dyDescent="0.45">
      <c r="A46" t="s">
        <v>176</v>
      </c>
      <c r="B46" s="1">
        <f t="shared" si="0"/>
        <v>85</v>
      </c>
      <c r="C46" t="s">
        <v>33</v>
      </c>
      <c r="D46" t="s">
        <v>141</v>
      </c>
      <c r="E46" t="s">
        <v>177</v>
      </c>
      <c r="F46">
        <v>-37.812353999999999</v>
      </c>
      <c r="G46">
        <v>144.9566317</v>
      </c>
      <c r="H46" t="s">
        <v>178</v>
      </c>
      <c r="I46" t="s">
        <v>161</v>
      </c>
      <c r="J46">
        <v>3</v>
      </c>
      <c r="K46">
        <v>88</v>
      </c>
      <c r="L46">
        <v>86</v>
      </c>
      <c r="M46" s="1">
        <f t="shared" si="1"/>
        <v>85.050505050505052</v>
      </c>
    </row>
    <row r="47" spans="1:13" x14ac:dyDescent="0.45">
      <c r="A47" t="s">
        <v>179</v>
      </c>
      <c r="B47" s="1">
        <f t="shared" si="0"/>
        <v>86</v>
      </c>
      <c r="C47" t="s">
        <v>30</v>
      </c>
      <c r="D47" t="s">
        <v>142</v>
      </c>
      <c r="E47" t="s">
        <v>180</v>
      </c>
      <c r="F47">
        <v>-37.816072499999997</v>
      </c>
      <c r="G47">
        <v>144.96819170000001</v>
      </c>
      <c r="H47" t="s">
        <v>182</v>
      </c>
      <c r="I47" t="s">
        <v>181</v>
      </c>
      <c r="J47">
        <v>1.5</v>
      </c>
      <c r="K47">
        <v>87</v>
      </c>
      <c r="L47">
        <v>87</v>
      </c>
      <c r="M47" s="1">
        <f t="shared" si="1"/>
        <v>86.36363636363636</v>
      </c>
    </row>
    <row r="48" spans="1:13" x14ac:dyDescent="0.45">
      <c r="A48" t="s">
        <v>183</v>
      </c>
      <c r="B48" s="1">
        <f t="shared" si="0"/>
        <v>86</v>
      </c>
      <c r="C48" t="s">
        <v>30</v>
      </c>
      <c r="D48" t="s">
        <v>142</v>
      </c>
      <c r="E48" t="s">
        <v>184</v>
      </c>
      <c r="F48">
        <v>-37.814897799999997</v>
      </c>
      <c r="G48">
        <v>144.9725894</v>
      </c>
      <c r="H48" t="s">
        <v>185</v>
      </c>
      <c r="I48" t="s">
        <v>181</v>
      </c>
      <c r="J48">
        <v>1.5</v>
      </c>
      <c r="K48">
        <v>87</v>
      </c>
      <c r="L48">
        <v>87</v>
      </c>
      <c r="M48" s="1">
        <f t="shared" si="1"/>
        <v>86.36363636363636</v>
      </c>
    </row>
    <row r="49" spans="1:13" x14ac:dyDescent="0.45">
      <c r="A49" t="s">
        <v>186</v>
      </c>
      <c r="B49" s="1">
        <f t="shared" si="0"/>
        <v>86</v>
      </c>
      <c r="C49" t="s">
        <v>30</v>
      </c>
      <c r="D49" t="s">
        <v>142</v>
      </c>
      <c r="E49" t="s">
        <v>187</v>
      </c>
      <c r="F49">
        <v>-37.815413200000002</v>
      </c>
      <c r="G49">
        <v>144.97062080000001</v>
      </c>
      <c r="H49" t="s">
        <v>189</v>
      </c>
      <c r="I49" t="s">
        <v>188</v>
      </c>
      <c r="J49">
        <v>1.5</v>
      </c>
      <c r="K49">
        <v>87</v>
      </c>
      <c r="L49">
        <v>86</v>
      </c>
      <c r="M49" s="1">
        <f t="shared" si="1"/>
        <v>85.959595959595958</v>
      </c>
    </row>
    <row r="50" spans="1:13" x14ac:dyDescent="0.45">
      <c r="A50" t="s">
        <v>190</v>
      </c>
      <c r="B50" s="1">
        <f t="shared" si="0"/>
        <v>82</v>
      </c>
      <c r="C50" t="s">
        <v>29</v>
      </c>
      <c r="D50" t="s">
        <v>141</v>
      </c>
      <c r="E50" t="s">
        <v>191</v>
      </c>
      <c r="F50">
        <v>-37.815526699999999</v>
      </c>
      <c r="G50">
        <v>144.96986010000001</v>
      </c>
      <c r="H50" t="s">
        <v>192</v>
      </c>
      <c r="I50" t="s">
        <v>147</v>
      </c>
      <c r="J50">
        <v>3</v>
      </c>
      <c r="K50">
        <v>85</v>
      </c>
      <c r="L50">
        <v>82</v>
      </c>
      <c r="M50" s="1">
        <f t="shared" si="1"/>
        <v>81.616161616161619</v>
      </c>
    </row>
    <row r="51" spans="1:13" x14ac:dyDescent="0.45">
      <c r="A51" t="s">
        <v>193</v>
      </c>
      <c r="B51" s="1">
        <f t="shared" si="0"/>
        <v>83</v>
      </c>
      <c r="C51" t="s">
        <v>29</v>
      </c>
      <c r="D51" t="s">
        <v>141</v>
      </c>
      <c r="E51" t="s">
        <v>194</v>
      </c>
      <c r="F51">
        <v>-37.815948900000002</v>
      </c>
      <c r="G51">
        <v>144.9682032</v>
      </c>
      <c r="H51" t="s">
        <v>195</v>
      </c>
      <c r="I51" t="s">
        <v>147</v>
      </c>
      <c r="J51">
        <v>3</v>
      </c>
      <c r="K51">
        <v>86</v>
      </c>
      <c r="L51">
        <v>83</v>
      </c>
      <c r="M51" s="1">
        <f t="shared" si="1"/>
        <v>82.62626262626263</v>
      </c>
    </row>
    <row r="52" spans="1:13" x14ac:dyDescent="0.45">
      <c r="A52" t="s">
        <v>196</v>
      </c>
      <c r="B52" s="1">
        <f t="shared" si="0"/>
        <v>88</v>
      </c>
      <c r="C52" t="s">
        <v>32</v>
      </c>
      <c r="D52" t="s">
        <v>144</v>
      </c>
      <c r="E52" t="s">
        <v>197</v>
      </c>
      <c r="F52">
        <v>-37.814322799999999</v>
      </c>
      <c r="G52">
        <v>144.96144169999999</v>
      </c>
      <c r="H52" t="s">
        <v>198</v>
      </c>
      <c r="I52" t="s">
        <v>181</v>
      </c>
      <c r="J52">
        <v>2</v>
      </c>
      <c r="K52">
        <v>90</v>
      </c>
      <c r="L52">
        <v>87</v>
      </c>
      <c r="M52" s="1">
        <f t="shared" si="1"/>
        <v>87.676767676767682</v>
      </c>
    </row>
    <row r="53" spans="1:13" x14ac:dyDescent="0.45">
      <c r="A53" t="s">
        <v>199</v>
      </c>
      <c r="B53" s="1">
        <f t="shared" si="0"/>
        <v>87</v>
      </c>
      <c r="C53" t="s">
        <v>30</v>
      </c>
      <c r="D53" t="s">
        <v>142</v>
      </c>
      <c r="E53" t="s">
        <v>200</v>
      </c>
      <c r="F53">
        <v>-37.815802300000001</v>
      </c>
      <c r="G53">
        <v>144.96885420000001</v>
      </c>
      <c r="H53" t="s">
        <v>201</v>
      </c>
      <c r="I53" t="s">
        <v>149</v>
      </c>
      <c r="J53">
        <v>3.5</v>
      </c>
      <c r="K53">
        <v>90</v>
      </c>
      <c r="L53">
        <v>90</v>
      </c>
      <c r="M53" s="1">
        <f t="shared" si="1"/>
        <v>87.37373737373737</v>
      </c>
    </row>
    <row r="54" spans="1:13" x14ac:dyDescent="0.45">
      <c r="A54" t="s">
        <v>205</v>
      </c>
      <c r="B54" s="1">
        <f t="shared" si="0"/>
        <v>86</v>
      </c>
      <c r="C54" t="s">
        <v>30</v>
      </c>
      <c r="D54" t="s">
        <v>142</v>
      </c>
      <c r="E54" t="s">
        <v>202</v>
      </c>
      <c r="F54">
        <v>-37.815802300000001</v>
      </c>
      <c r="G54">
        <v>144.96885420000001</v>
      </c>
      <c r="H54" t="s">
        <v>204</v>
      </c>
      <c r="I54" t="s">
        <v>203</v>
      </c>
      <c r="J54">
        <v>4</v>
      </c>
      <c r="K54">
        <v>90</v>
      </c>
      <c r="L54">
        <v>88</v>
      </c>
      <c r="M54" s="1">
        <f t="shared" si="1"/>
        <v>86.060606060606062</v>
      </c>
    </row>
    <row r="55" spans="1:13" x14ac:dyDescent="0.45">
      <c r="A55" t="s">
        <v>206</v>
      </c>
      <c r="B55" s="1">
        <f t="shared" si="0"/>
        <v>88</v>
      </c>
      <c r="C55" t="s">
        <v>30</v>
      </c>
      <c r="D55" t="s">
        <v>142</v>
      </c>
      <c r="E55" t="s">
        <v>208</v>
      </c>
      <c r="F55">
        <v>-37.812705399999999</v>
      </c>
      <c r="G55">
        <v>144.96561869999999</v>
      </c>
      <c r="H55" t="s">
        <v>207</v>
      </c>
      <c r="I55" t="s">
        <v>203</v>
      </c>
      <c r="J55">
        <v>4</v>
      </c>
      <c r="K55">
        <v>92</v>
      </c>
      <c r="L55">
        <v>89</v>
      </c>
      <c r="M55" s="1">
        <f t="shared" si="1"/>
        <v>87.676767676767682</v>
      </c>
    </row>
    <row r="56" spans="1:13" x14ac:dyDescent="0.45">
      <c r="A56" t="s">
        <v>209</v>
      </c>
      <c r="B56" s="1">
        <f t="shared" si="0"/>
        <v>89</v>
      </c>
      <c r="C56" t="s">
        <v>27</v>
      </c>
      <c r="D56" t="s">
        <v>144</v>
      </c>
      <c r="E56" t="s">
        <v>211</v>
      </c>
      <c r="F56">
        <v>-37.8152665</v>
      </c>
      <c r="G56">
        <v>144.96972099999999</v>
      </c>
      <c r="H56" t="s">
        <v>210</v>
      </c>
      <c r="I56" t="s">
        <v>147</v>
      </c>
      <c r="J56">
        <v>3</v>
      </c>
      <c r="K56">
        <v>90</v>
      </c>
      <c r="L56">
        <v>94</v>
      </c>
      <c r="M56" s="1">
        <f t="shared" si="1"/>
        <v>89.494949494949495</v>
      </c>
    </row>
    <row r="57" spans="1:13" x14ac:dyDescent="0.45">
      <c r="A57" t="s">
        <v>213</v>
      </c>
      <c r="B57" s="1">
        <f t="shared" si="0"/>
        <v>89</v>
      </c>
      <c r="C57" t="s">
        <v>30</v>
      </c>
      <c r="D57" t="s">
        <v>142</v>
      </c>
      <c r="E57" t="s">
        <v>214</v>
      </c>
      <c r="F57">
        <v>-37.812956300000003</v>
      </c>
      <c r="G57">
        <v>144.96285639999999</v>
      </c>
      <c r="H57" t="s">
        <v>212</v>
      </c>
      <c r="I57" t="s">
        <v>203</v>
      </c>
      <c r="J57">
        <v>2.5</v>
      </c>
      <c r="K57">
        <v>87</v>
      </c>
      <c r="L57">
        <v>95</v>
      </c>
      <c r="M57" s="1">
        <f t="shared" si="1"/>
        <v>88.585858585858588</v>
      </c>
    </row>
    <row r="58" spans="1:13" x14ac:dyDescent="0.45">
      <c r="A58" t="s">
        <v>215</v>
      </c>
      <c r="B58" s="1">
        <f t="shared" si="0"/>
        <v>92</v>
      </c>
      <c r="C58" t="s">
        <v>30</v>
      </c>
      <c r="D58" t="s">
        <v>142</v>
      </c>
      <c r="E58" t="s">
        <v>216</v>
      </c>
      <c r="F58">
        <v>-37.813351599999997</v>
      </c>
      <c r="G58">
        <v>144.97089500000001</v>
      </c>
      <c r="H58" t="s">
        <v>217</v>
      </c>
      <c r="I58" t="s">
        <v>218</v>
      </c>
      <c r="J58">
        <v>2.5</v>
      </c>
      <c r="K58">
        <v>94</v>
      </c>
      <c r="L58">
        <v>93</v>
      </c>
      <c r="M58" s="1">
        <f t="shared" si="1"/>
        <v>92.020202020202021</v>
      </c>
    </row>
    <row r="59" spans="1:13" x14ac:dyDescent="0.45">
      <c r="A59" t="s">
        <v>219</v>
      </c>
      <c r="B59" s="1">
        <f t="shared" si="0"/>
        <v>85</v>
      </c>
      <c r="C59" t="s">
        <v>29</v>
      </c>
      <c r="D59" t="s">
        <v>141</v>
      </c>
      <c r="E59" t="s">
        <v>220</v>
      </c>
      <c r="F59">
        <v>-37.812942700000001</v>
      </c>
      <c r="G59">
        <v>144.9713271</v>
      </c>
      <c r="H59" t="s">
        <v>221</v>
      </c>
      <c r="I59" t="s">
        <v>218</v>
      </c>
      <c r="J59">
        <v>2</v>
      </c>
      <c r="K59">
        <v>87</v>
      </c>
      <c r="L59">
        <v>85</v>
      </c>
      <c r="M59" s="1">
        <f t="shared" si="1"/>
        <v>85.050505050505052</v>
      </c>
    </row>
    <row r="60" spans="1:13" x14ac:dyDescent="0.45">
      <c r="A60" t="s">
        <v>222</v>
      </c>
      <c r="B60" s="1">
        <f t="shared" si="0"/>
        <v>88</v>
      </c>
      <c r="C60" t="s">
        <v>223</v>
      </c>
      <c r="D60" t="s">
        <v>141</v>
      </c>
      <c r="E60" t="s">
        <v>225</v>
      </c>
      <c r="F60">
        <v>-37.812434000000003</v>
      </c>
      <c r="G60">
        <v>144.97216280000001</v>
      </c>
      <c r="H60" t="s">
        <v>224</v>
      </c>
      <c r="I60" t="s">
        <v>218</v>
      </c>
      <c r="J60">
        <v>2</v>
      </c>
      <c r="K60">
        <v>89</v>
      </c>
      <c r="L60">
        <v>90</v>
      </c>
      <c r="M60" s="1">
        <f t="shared" si="1"/>
        <v>88.282828282828291</v>
      </c>
    </row>
    <row r="61" spans="1:13" x14ac:dyDescent="0.45">
      <c r="A61" t="s">
        <v>226</v>
      </c>
      <c r="B61" s="1">
        <f t="shared" si="0"/>
        <v>91</v>
      </c>
      <c r="C61" t="s">
        <v>30</v>
      </c>
      <c r="D61" t="s">
        <v>142</v>
      </c>
      <c r="E61" t="s">
        <v>227</v>
      </c>
      <c r="F61">
        <v>-37.811082300000002</v>
      </c>
      <c r="G61">
        <v>144.97117950000001</v>
      </c>
      <c r="H61" t="s">
        <v>229</v>
      </c>
      <c r="I61" t="s">
        <v>228</v>
      </c>
      <c r="J61">
        <v>2</v>
      </c>
      <c r="K61">
        <v>93</v>
      </c>
      <c r="L61">
        <v>90</v>
      </c>
      <c r="M61" s="1">
        <f t="shared" si="1"/>
        <v>90.707070707070699</v>
      </c>
    </row>
    <row r="62" spans="1:13" x14ac:dyDescent="0.45">
      <c r="A62" t="s">
        <v>231</v>
      </c>
      <c r="B62" s="1">
        <f t="shared" si="0"/>
        <v>85</v>
      </c>
      <c r="C62" t="s">
        <v>27</v>
      </c>
      <c r="D62" t="s">
        <v>144</v>
      </c>
      <c r="E62" t="s">
        <v>232</v>
      </c>
      <c r="F62">
        <v>-37.8092483</v>
      </c>
      <c r="G62">
        <v>144.96140410000001</v>
      </c>
      <c r="H62" t="s">
        <v>230</v>
      </c>
      <c r="J62">
        <v>3</v>
      </c>
      <c r="K62">
        <v>88</v>
      </c>
      <c r="L62">
        <v>85</v>
      </c>
      <c r="M62" s="1">
        <f t="shared" si="1"/>
        <v>84.646464646464651</v>
      </c>
    </row>
    <row r="63" spans="1:13" x14ac:dyDescent="0.45">
      <c r="A63" t="s">
        <v>233</v>
      </c>
      <c r="B63" s="1">
        <f t="shared" si="0"/>
        <v>85</v>
      </c>
      <c r="C63" t="s">
        <v>27</v>
      </c>
      <c r="D63" t="s">
        <v>144</v>
      </c>
      <c r="E63" t="s">
        <v>234</v>
      </c>
      <c r="F63">
        <v>-37.806408599999997</v>
      </c>
      <c r="G63">
        <v>144.9628505</v>
      </c>
      <c r="H63" t="s">
        <v>235</v>
      </c>
      <c r="I63" t="s">
        <v>228</v>
      </c>
      <c r="J63">
        <v>3</v>
      </c>
      <c r="K63">
        <v>88</v>
      </c>
      <c r="L63">
        <v>87</v>
      </c>
      <c r="M63" s="1">
        <f t="shared" si="1"/>
        <v>85.454545454545453</v>
      </c>
    </row>
    <row r="64" spans="1:13" x14ac:dyDescent="0.45">
      <c r="A64" t="s">
        <v>236</v>
      </c>
      <c r="B64" s="1">
        <f t="shared" si="0"/>
        <v>83</v>
      </c>
      <c r="C64" t="s">
        <v>30</v>
      </c>
      <c r="D64" t="s">
        <v>142</v>
      </c>
      <c r="E64" t="s">
        <v>237</v>
      </c>
      <c r="F64">
        <v>-37.848519899999999</v>
      </c>
      <c r="G64">
        <v>144.99952830000001</v>
      </c>
      <c r="H64" t="s">
        <v>238</v>
      </c>
      <c r="I64" t="s">
        <v>203</v>
      </c>
      <c r="J64">
        <v>2.5</v>
      </c>
      <c r="K64">
        <v>85</v>
      </c>
      <c r="L64">
        <v>85</v>
      </c>
      <c r="M64" s="1">
        <f t="shared" si="1"/>
        <v>83.333333333333343</v>
      </c>
    </row>
    <row r="65" spans="1:13" x14ac:dyDescent="0.45">
      <c r="A65" t="s">
        <v>239</v>
      </c>
      <c r="B65" s="1">
        <f t="shared" si="0"/>
        <v>87</v>
      </c>
      <c r="C65" t="s">
        <v>30</v>
      </c>
      <c r="D65" t="s">
        <v>142</v>
      </c>
      <c r="E65" t="s">
        <v>240</v>
      </c>
      <c r="F65">
        <v>-37.806317399999998</v>
      </c>
      <c r="G65">
        <v>144.9638851</v>
      </c>
      <c r="H65" t="s">
        <v>241</v>
      </c>
      <c r="I65" t="s">
        <v>188</v>
      </c>
      <c r="J65">
        <v>3</v>
      </c>
      <c r="K65">
        <v>90</v>
      </c>
      <c r="L65">
        <v>87</v>
      </c>
      <c r="M65" s="1">
        <f t="shared" si="1"/>
        <v>86.666666666666671</v>
      </c>
    </row>
    <row r="66" spans="1:13" x14ac:dyDescent="0.45">
      <c r="A66" t="s">
        <v>242</v>
      </c>
      <c r="B66" s="1">
        <f t="shared" si="0"/>
        <v>86</v>
      </c>
      <c r="C66" t="s">
        <v>30</v>
      </c>
      <c r="D66" t="s">
        <v>142</v>
      </c>
      <c r="E66" t="s">
        <v>243</v>
      </c>
      <c r="F66">
        <v>-37.813313899999997</v>
      </c>
      <c r="G66">
        <v>144.9703523</v>
      </c>
      <c r="H66" t="s">
        <v>244</v>
      </c>
      <c r="I66" t="s">
        <v>188</v>
      </c>
      <c r="J66">
        <v>3</v>
      </c>
      <c r="K66">
        <v>88</v>
      </c>
      <c r="L66">
        <v>88</v>
      </c>
      <c r="M66" s="1">
        <f t="shared" si="1"/>
        <v>85.858585858585855</v>
      </c>
    </row>
  </sheetData>
  <sortState xmlns:xlrd2="http://schemas.microsoft.com/office/spreadsheetml/2017/richdata2" ref="A2:M38">
    <sortCondition descending="1" ref="B2:B38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Joyce</dc:creator>
  <cp:lastModifiedBy>Ronan Joyce</cp:lastModifiedBy>
  <dcterms:created xsi:type="dcterms:W3CDTF">2025-06-15T02:12:16Z</dcterms:created>
  <dcterms:modified xsi:type="dcterms:W3CDTF">2025-07-20T07:38:02Z</dcterms:modified>
</cp:coreProperties>
</file>