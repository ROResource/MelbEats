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229" documentId="13_ncr:1_{6B110E32-D919-4039-A06E-9D1CDE8DCCE0}" xr6:coauthVersionLast="47" xr6:coauthVersionMax="47" xr10:uidLastSave="{ED9DB3C8-DAE7-49AC-81DC-71A0B5FFEA17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B4" i="1" s="1"/>
  <c r="M30" i="1"/>
  <c r="B30" i="1" s="1"/>
  <c r="M12" i="1"/>
  <c r="B12" i="1" s="1"/>
  <c r="M2" i="1"/>
  <c r="B2" i="1" s="1"/>
  <c r="M17" i="1"/>
  <c r="B17" i="1" s="1"/>
  <c r="M35" i="1"/>
  <c r="B35" i="1" s="1"/>
  <c r="M33" i="1"/>
  <c r="B33" i="1" s="1"/>
  <c r="M28" i="1"/>
  <c r="B28" i="1" s="1"/>
  <c r="M19" i="1"/>
  <c r="B19" i="1" s="1"/>
  <c r="M22" i="1"/>
  <c r="B22" i="1" s="1"/>
  <c r="M38" i="1"/>
  <c r="B38" i="1" s="1"/>
  <c r="M37" i="1"/>
  <c r="B37" i="1" s="1"/>
  <c r="M18" i="1"/>
  <c r="B18" i="1" s="1"/>
  <c r="M34" i="1"/>
  <c r="B34" i="1" s="1"/>
  <c r="M27" i="1"/>
  <c r="B27" i="1" s="1"/>
  <c r="M31" i="1"/>
  <c r="B31" i="1" s="1"/>
  <c r="M20" i="1"/>
  <c r="B20" i="1" s="1"/>
  <c r="M3" i="1"/>
  <c r="B3" i="1" s="1"/>
  <c r="M8" i="1"/>
  <c r="B8" i="1" s="1"/>
  <c r="M13" i="1"/>
  <c r="B13" i="1" s="1"/>
  <c r="M25" i="1"/>
  <c r="B25" i="1" s="1"/>
  <c r="M11" i="1"/>
  <c r="B11" i="1" s="1"/>
  <c r="M7" i="1"/>
  <c r="B7" i="1" s="1"/>
  <c r="M21" i="1"/>
  <c r="B21" i="1" s="1"/>
  <c r="M16" i="1"/>
  <c r="B16" i="1" s="1"/>
  <c r="M32" i="1"/>
  <c r="B32" i="1" s="1"/>
  <c r="M23" i="1"/>
  <c r="B23" i="1" s="1"/>
  <c r="M15" i="1"/>
  <c r="B15" i="1" s="1"/>
  <c r="M24" i="1"/>
  <c r="B24" i="1" s="1"/>
  <c r="M6" i="1"/>
  <c r="B6" i="1" s="1"/>
  <c r="M14" i="1"/>
  <c r="B14" i="1" s="1"/>
  <c r="M10" i="1"/>
  <c r="B10" i="1" s="1"/>
  <c r="M5" i="1"/>
  <c r="B5" i="1" s="1"/>
  <c r="M29" i="1"/>
  <c r="B29" i="1" s="1"/>
  <c r="M9" i="1"/>
  <c r="B9" i="1" s="1"/>
  <c r="M26" i="1"/>
  <c r="B26" i="1" s="1"/>
  <c r="M36" i="1"/>
  <c r="B36" i="1" s="1"/>
</calcChain>
</file>

<file path=xl/sharedStrings.xml><?xml version="1.0" encoding="utf-8"?>
<sst xmlns="http://schemas.openxmlformats.org/spreadsheetml/2006/main" count="235" uniqueCount="150">
  <si>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</si>
  <si>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</si>
  <si>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</si>
  <si>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</si>
  <si>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</si>
  <si>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</si>
  <si>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</si>
  <si>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</si>
  <si>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</si>
  <si>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</si>
  <si>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</si>
  <si>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</si>
  <si>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</si>
  <si>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</si>
  <si>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</si>
  <si>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</si>
  <si>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Tipo 0.0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</si>
  <si>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</si>
  <si>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</si>
  <si>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</si>
  <si>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</si>
  <si>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</si>
  <si>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</si>
  <si>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</si>
  <si>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</si>
  <si>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</si>
  <si>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</si>
  <si>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Restaurant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</si>
  <si>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</si>
  <si>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</si>
  <si>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</si>
  <si>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</si>
  <si>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</si>
  <si>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</si>
  <si>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</si>
  <si>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</si>
  <si>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</si>
  <si>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</si>
  <si>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</si>
  <si>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</si>
  <si>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</si>
  <si>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</si>
  <si>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</si>
  <si>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</si>
  <si>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</si>
  <si>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</si>
  <si>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</si>
  <si>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</si>
  <si>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</si>
  <si>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</si>
  <si>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</si>
  <si>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</si>
  <si>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</si>
  <si>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</si>
  <si>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</si>
  <si>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</si>
  <si>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</si>
  <si>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</si>
  <si>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</si>
  <si>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</si>
  <si>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</si>
  <si>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</si>
  <si>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</si>
  <si>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</si>
  <si>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</si>
  <si>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</si>
  <si>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</si>
  <si>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</si>
  <si>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</si>
  <si>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</si>
  <si>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</si>
  <si>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</si>
  <si>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</si>
  <si>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</si>
  <si>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</si>
  <si>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</si>
  <si>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</si>
  <si>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</si>
  <si>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</si>
  <si>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</si>
  <si>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</si>
  <si>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</si>
  <si>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</si>
  <si>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</si>
  <si>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</si>
  <si>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</si>
  <si>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</si>
  <si>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</si>
  <si>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</si>
  <si>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</si>
  <si>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</si>
  <si>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</si>
  <si>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</si>
  <si>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</si>
  <si>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</si>
  <si>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</si>
  <si>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</si>
  <si>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</si>
  <si>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</si>
  <si>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</si>
  <si>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</si>
  <si>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</si>
  <si>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</si>
  <si>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</si>
  <si>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</si>
  <si>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</si>
  <si>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</si>
  <si>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</si>
  <si>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</si>
  <si>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</si>
  <si>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</si>
  <si>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</si>
  <si>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</si>
  <si>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</si>
  <si>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</si>
  <si>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</si>
  <si>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</si>
  <si>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Plenty of tast meat and sushi. Very cool décor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</si>
  <si>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</si>
  <si>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</si>
  <si>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</si>
  <si>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</si>
  <si>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</si>
  <si>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</si>
  <si>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</si>
  <si>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</si>
  <si>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</si>
  <si>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</si>
  <si>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</si>
  <si>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</si>
  <si>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</si>
  <si>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</si>
  <si>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</si>
  <si>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</si>
  <si>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</si>
  <si>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</si>
  <si>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</si>
  <si>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</si>
  <si>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</si>
  <si>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</si>
  <si>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</si>
  <si>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</si>
  <si>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</si>
  <si>
    <t>Cocktail</t>
  </si>
  <si>
    <t>Region</t>
  </si>
  <si>
    <t>Asia</t>
  </si>
  <si>
    <t>Australian</t>
  </si>
  <si>
    <t>Central/South American</t>
  </si>
  <si>
    <t>European</t>
  </si>
  <si>
    <t>Middle East/Africa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</si>
</sst>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M38"/>
  <sheetViews>
    <sheetView tabSelected="1" zoomScale="85" zoomScaleNormal="85" workbookViewId="0">
      <pane ySplit="1" topLeftCell="A2" activePane="bottomLeft" state="frozen"/>
      <selection pane="bottomLeft" activeCell="D2" sqref="D2"/>
    </sheetView>
  </sheetViews>
  <sheetFormatPr defaultRowHeight="14.25" x14ac:dyDescent="0.45"/>
  <cols>
    <col min="1" max="1" width="15.19921875" customWidth="1"/>
    <col min="2" max="2" width="9.59765625" customWidth="1"/>
    <col min="3" max="3" width="12.9296875" customWidth="1"/>
    <col min="4" max="4" width="14.19921875" customWidth="1"/>
    <col min="5" max="5" width="66.3984375" bestFit="1" customWidth="1"/>
    <col min="6" max="6" width="12.9296875" customWidth="1"/>
    <col min="7" max="7" width="17.265625" customWidth="1"/>
    <col min="8" max="8" width="13.33203125" customWidth="1"/>
    <col min="9" max="9" width="11.59765625" customWidth="1"/>
    <col min="10" max="10" width="12.6640625" customWidth="1"/>
    <col min="11" max="11" width="10.06640625" customWidth="1"/>
    <col min="12" max="12" width="13.9296875" customWidth="1"/>
    <col min="13" max="13" width="12.6640625" style="1" customWidth="1"/>
  </cols>
  <sheetData>
    <row r="1" spans="1:13" x14ac:dyDescent="0.45">
      <c r="A1" t="s">
        <v>52</v>
      </c>
      <c r="B1" t="s">
        <v>53</v>
      </c>
      <c r="C1" t="s">
        <v>101</v>
      </c>
      <c r="D1" t="s">
        <v>144</v>
      </c>
      <c r="E1" t="s">
        <v>54</v>
      </c>
      <c r="F1" t="s">
        <v>100</v>
      </c>
      <c r="G1" t="s">
        <v>99</v>
      </c>
      <c r="H1" t="s">
        <v>105</v>
      </c>
      <c r="I1" t="s">
        <v>55</v>
      </c>
      <c r="J1" t="s">
        <v>58</v>
      </c>
      <c r="K1" t="s">
        <v>56</v>
      </c>
      <c r="L1" t="s">
        <v>57</v>
      </c>
      <c r="M1" s="1" t="s">
        <v>59</v>
      </c>
    </row>
    <row r="2" spans="1:13" x14ac:dyDescent="0.45">
      <c r="A2" t="s">
        <v>47</v>
      </c>
      <c r="B2" s="1">
        <f t="shared" ref="B2:B38" si="0">ROUND(M2,0)</f>
        <v>94</v>
      </c>
      <c r="C2" t="s">
        <v>35</v>
      </c>
      <c r="D2" t="s">
        <v>145</v>
      </c>
      <c r="E2" t="s">
        <v>106</v>
      </c>
      <c r="F2">
        <v>-37.819744399999998</v>
      </c>
      <c r="G2">
        <v>145.00502520000001</v>
      </c>
      <c r="H2" t="s">
        <v>60</v>
      </c>
      <c r="I2" t="s">
        <v>27</v>
      </c>
      <c r="J2">
        <v>5</v>
      </c>
      <c r="K2">
        <v>98</v>
      </c>
      <c r="L2">
        <v>98</v>
      </c>
      <c r="M2" s="1">
        <f t="shared" ref="M2:M38" si="1">((((3*K2)+(2*L2))-(5*J2))/495)*100</f>
        <v>93.939393939393938</v>
      </c>
    </row>
    <row r="3" spans="1:13" x14ac:dyDescent="0.45">
      <c r="A3" t="s">
        <v>102</v>
      </c>
      <c r="B3" s="1">
        <f t="shared" si="0"/>
        <v>93</v>
      </c>
      <c r="C3" t="s">
        <v>35</v>
      </c>
      <c r="D3" t="s">
        <v>145</v>
      </c>
      <c r="E3" t="s">
        <v>107</v>
      </c>
      <c r="F3">
        <v>-37.816214700000003</v>
      </c>
      <c r="G3">
        <v>144.96879939999999</v>
      </c>
      <c r="H3" t="s">
        <v>61</v>
      </c>
      <c r="I3" t="s">
        <v>27</v>
      </c>
      <c r="J3">
        <v>5</v>
      </c>
      <c r="K3">
        <v>96</v>
      </c>
      <c r="L3">
        <v>98</v>
      </c>
      <c r="M3" s="1">
        <f t="shared" si="1"/>
        <v>92.72727272727272</v>
      </c>
    </row>
    <row r="4" spans="1:13" x14ac:dyDescent="0.45">
      <c r="A4" t="s">
        <v>51</v>
      </c>
      <c r="B4" s="1">
        <f t="shared" si="0"/>
        <v>93</v>
      </c>
      <c r="C4" t="s">
        <v>32</v>
      </c>
      <c r="D4" t="s">
        <v>146</v>
      </c>
      <c r="E4" t="s">
        <v>108</v>
      </c>
      <c r="F4">
        <v>-37.855813300000001</v>
      </c>
      <c r="G4">
        <v>145.02494609999999</v>
      </c>
      <c r="H4" t="s">
        <v>62</v>
      </c>
      <c r="I4" t="s">
        <v>27</v>
      </c>
      <c r="J4">
        <v>5</v>
      </c>
      <c r="K4">
        <v>97</v>
      </c>
      <c r="L4">
        <v>98</v>
      </c>
      <c r="M4" s="1">
        <f t="shared" si="1"/>
        <v>93.333333333333329</v>
      </c>
    </row>
    <row r="5" spans="1:13" x14ac:dyDescent="0.45">
      <c r="A5" t="s">
        <v>3</v>
      </c>
      <c r="B5" s="1">
        <f t="shared" si="0"/>
        <v>91</v>
      </c>
      <c r="C5" t="s">
        <v>33</v>
      </c>
      <c r="D5" t="s">
        <v>145</v>
      </c>
      <c r="E5" t="s">
        <v>109</v>
      </c>
      <c r="F5">
        <v>-37.815699100000003</v>
      </c>
      <c r="G5">
        <v>144.97141070000001</v>
      </c>
      <c r="H5" t="s">
        <v>63</v>
      </c>
      <c r="I5" t="s">
        <v>27</v>
      </c>
      <c r="J5">
        <v>3.5</v>
      </c>
      <c r="K5">
        <v>93</v>
      </c>
      <c r="L5">
        <v>94</v>
      </c>
      <c r="M5" s="1">
        <f t="shared" si="1"/>
        <v>90.808080808080803</v>
      </c>
    </row>
    <row r="6" spans="1:13" x14ac:dyDescent="0.45">
      <c r="A6" t="s">
        <v>0</v>
      </c>
      <c r="B6" s="1">
        <f t="shared" si="0"/>
        <v>90</v>
      </c>
      <c r="C6" t="s">
        <v>28</v>
      </c>
      <c r="D6" t="s">
        <v>147</v>
      </c>
      <c r="E6" t="s">
        <v>141</v>
      </c>
      <c r="F6">
        <v>-37.812163599999998</v>
      </c>
      <c r="G6">
        <v>144.97241320000001</v>
      </c>
      <c r="H6" t="s">
        <v>64</v>
      </c>
      <c r="I6" t="s">
        <v>27</v>
      </c>
      <c r="J6">
        <v>4.5</v>
      </c>
      <c r="K6">
        <v>94</v>
      </c>
      <c r="L6">
        <v>94</v>
      </c>
      <c r="M6" s="1">
        <f t="shared" si="1"/>
        <v>90.404040404040416</v>
      </c>
    </row>
    <row r="7" spans="1:13" x14ac:dyDescent="0.45">
      <c r="A7" t="s">
        <v>6</v>
      </c>
      <c r="B7" s="1">
        <f t="shared" si="0"/>
        <v>89</v>
      </c>
      <c r="C7" t="s">
        <v>39</v>
      </c>
      <c r="D7" t="s">
        <v>148</v>
      </c>
      <c r="E7" t="s">
        <v>110</v>
      </c>
      <c r="F7">
        <v>-37.816716700000001</v>
      </c>
      <c r="G7">
        <v>144.96914169999999</v>
      </c>
      <c r="H7" t="s">
        <v>65</v>
      </c>
      <c r="I7" t="s">
        <v>27</v>
      </c>
      <c r="J7">
        <v>4</v>
      </c>
      <c r="K7">
        <v>94</v>
      </c>
      <c r="L7">
        <v>90</v>
      </c>
      <c r="M7" s="1">
        <f t="shared" si="1"/>
        <v>89.292929292929287</v>
      </c>
    </row>
    <row r="8" spans="1:13" x14ac:dyDescent="0.45">
      <c r="A8" t="s">
        <v>9</v>
      </c>
      <c r="B8" s="1">
        <f t="shared" si="0"/>
        <v>89</v>
      </c>
      <c r="C8" t="s">
        <v>35</v>
      </c>
      <c r="D8" t="s">
        <v>145</v>
      </c>
      <c r="E8" t="s">
        <v>111</v>
      </c>
      <c r="F8">
        <v>-37.816099999999999</v>
      </c>
      <c r="G8">
        <v>144.96879939999999</v>
      </c>
      <c r="H8" t="s">
        <v>61</v>
      </c>
      <c r="I8" t="s">
        <v>27</v>
      </c>
      <c r="J8">
        <v>4.5</v>
      </c>
      <c r="K8">
        <v>95</v>
      </c>
      <c r="L8">
        <v>90</v>
      </c>
      <c r="M8" s="1">
        <f t="shared" si="1"/>
        <v>89.393939393939391</v>
      </c>
    </row>
    <row r="9" spans="1:13" x14ac:dyDescent="0.45">
      <c r="A9" t="s">
        <v>13</v>
      </c>
      <c r="B9" s="1">
        <f t="shared" si="0"/>
        <v>88</v>
      </c>
      <c r="C9" t="s">
        <v>30</v>
      </c>
      <c r="D9" t="s">
        <v>148</v>
      </c>
      <c r="E9" t="s">
        <v>142</v>
      </c>
      <c r="F9">
        <v>-37.814523000000001</v>
      </c>
      <c r="G9">
        <v>144.974164</v>
      </c>
      <c r="H9" t="s">
        <v>66</v>
      </c>
      <c r="I9" t="s">
        <v>27</v>
      </c>
      <c r="J9">
        <v>2.5</v>
      </c>
      <c r="K9">
        <v>89</v>
      </c>
      <c r="L9">
        <v>90</v>
      </c>
      <c r="M9" s="1">
        <f t="shared" si="1"/>
        <v>87.777777777777771</v>
      </c>
    </row>
    <row r="10" spans="1:13" x14ac:dyDescent="0.45">
      <c r="A10" t="s">
        <v>16</v>
      </c>
      <c r="B10" s="1">
        <f t="shared" si="0"/>
        <v>88</v>
      </c>
      <c r="C10" t="s">
        <v>29</v>
      </c>
      <c r="D10" t="s">
        <v>148</v>
      </c>
      <c r="E10" t="s">
        <v>112</v>
      </c>
      <c r="F10">
        <v>-37.813552199999997</v>
      </c>
      <c r="G10">
        <v>144.9619835</v>
      </c>
      <c r="H10" t="s">
        <v>67</v>
      </c>
      <c r="I10" t="s">
        <v>27</v>
      </c>
      <c r="J10">
        <v>4</v>
      </c>
      <c r="K10">
        <v>92</v>
      </c>
      <c r="L10">
        <v>90</v>
      </c>
      <c r="M10" s="1">
        <f t="shared" si="1"/>
        <v>88.080808080808083</v>
      </c>
    </row>
    <row r="11" spans="1:13" x14ac:dyDescent="0.45">
      <c r="A11" t="s">
        <v>12</v>
      </c>
      <c r="B11" s="1">
        <f t="shared" si="0"/>
        <v>87</v>
      </c>
      <c r="C11" t="s">
        <v>38</v>
      </c>
      <c r="D11" t="s">
        <v>148</v>
      </c>
      <c r="E11" t="s">
        <v>113</v>
      </c>
      <c r="F11">
        <v>-37.813279100000003</v>
      </c>
      <c r="G11">
        <v>144.96851409999999</v>
      </c>
      <c r="H11" t="s">
        <v>68</v>
      </c>
      <c r="I11" t="s">
        <v>27</v>
      </c>
      <c r="J11">
        <v>4</v>
      </c>
      <c r="K11">
        <v>89</v>
      </c>
      <c r="L11">
        <v>92</v>
      </c>
      <c r="M11" s="1">
        <f t="shared" si="1"/>
        <v>87.070707070707059</v>
      </c>
    </row>
    <row r="12" spans="1:13" x14ac:dyDescent="0.45">
      <c r="A12" t="s">
        <v>48</v>
      </c>
      <c r="B12" s="1">
        <f t="shared" si="0"/>
        <v>87</v>
      </c>
      <c r="C12" t="s">
        <v>31</v>
      </c>
      <c r="D12" t="s">
        <v>145</v>
      </c>
      <c r="E12" t="s">
        <v>114</v>
      </c>
      <c r="F12">
        <v>-37.815992799999997</v>
      </c>
      <c r="G12">
        <v>144.96995380000001</v>
      </c>
      <c r="H12" t="s">
        <v>69</v>
      </c>
      <c r="I12" t="s">
        <v>27</v>
      </c>
      <c r="J12">
        <v>3.5</v>
      </c>
      <c r="K12">
        <v>89</v>
      </c>
      <c r="L12">
        <v>90</v>
      </c>
      <c r="M12" s="1">
        <f t="shared" si="1"/>
        <v>86.767676767676775</v>
      </c>
    </row>
    <row r="13" spans="1:13" x14ac:dyDescent="0.45">
      <c r="A13" t="s">
        <v>2</v>
      </c>
      <c r="B13" s="1">
        <f t="shared" si="0"/>
        <v>86</v>
      </c>
      <c r="C13" t="s">
        <v>36</v>
      </c>
      <c r="D13" t="s">
        <v>149</v>
      </c>
      <c r="E13" t="s">
        <v>115</v>
      </c>
      <c r="F13">
        <v>-37.8181528</v>
      </c>
      <c r="G13">
        <v>144.96266199999999</v>
      </c>
      <c r="H13" t="s">
        <v>70</v>
      </c>
      <c r="I13" t="s">
        <v>27</v>
      </c>
      <c r="J13">
        <v>5</v>
      </c>
      <c r="K13">
        <v>92</v>
      </c>
      <c r="L13">
        <v>88</v>
      </c>
      <c r="M13" s="1">
        <f t="shared" si="1"/>
        <v>86.26262626262627</v>
      </c>
    </row>
    <row r="14" spans="1:13" x14ac:dyDescent="0.45">
      <c r="A14" t="s">
        <v>15</v>
      </c>
      <c r="B14" s="1">
        <f t="shared" si="0"/>
        <v>86</v>
      </c>
      <c r="C14" t="s">
        <v>46</v>
      </c>
      <c r="D14" t="s">
        <v>145</v>
      </c>
      <c r="E14" t="s">
        <v>116</v>
      </c>
      <c r="F14">
        <v>-37.813893700000001</v>
      </c>
      <c r="G14">
        <v>144.96168950000001</v>
      </c>
      <c r="H14" t="s">
        <v>71</v>
      </c>
      <c r="I14" t="s">
        <v>27</v>
      </c>
      <c r="J14">
        <v>4</v>
      </c>
      <c r="K14">
        <v>90</v>
      </c>
      <c r="L14">
        <v>89</v>
      </c>
      <c r="M14" s="1">
        <f t="shared" si="1"/>
        <v>86.464646464646464</v>
      </c>
    </row>
    <row r="15" spans="1:13" x14ac:dyDescent="0.45">
      <c r="A15" t="s">
        <v>10</v>
      </c>
      <c r="B15" s="1">
        <f t="shared" si="0"/>
        <v>85</v>
      </c>
      <c r="C15" t="s">
        <v>44</v>
      </c>
      <c r="D15" t="s">
        <v>145</v>
      </c>
      <c r="E15" t="s">
        <v>117</v>
      </c>
      <c r="F15">
        <v>-37.815804300000003</v>
      </c>
      <c r="G15">
        <v>144.97253459999999</v>
      </c>
      <c r="H15" t="s">
        <v>72</v>
      </c>
      <c r="I15" t="s">
        <v>27</v>
      </c>
      <c r="J15">
        <v>4</v>
      </c>
      <c r="K15">
        <v>87</v>
      </c>
      <c r="L15">
        <v>89</v>
      </c>
      <c r="M15" s="1">
        <f t="shared" si="1"/>
        <v>84.646464646464651</v>
      </c>
    </row>
    <row r="16" spans="1:13" x14ac:dyDescent="0.45">
      <c r="A16" t="s">
        <v>1</v>
      </c>
      <c r="B16" s="1">
        <f t="shared" si="0"/>
        <v>85</v>
      </c>
      <c r="C16" t="s">
        <v>41</v>
      </c>
      <c r="D16" t="s">
        <v>147</v>
      </c>
      <c r="E16" t="s">
        <v>118</v>
      </c>
      <c r="F16">
        <v>-37.815840299999998</v>
      </c>
      <c r="G16">
        <v>144.9710359</v>
      </c>
      <c r="H16" t="s">
        <v>73</v>
      </c>
      <c r="I16" t="s">
        <v>27</v>
      </c>
      <c r="J16">
        <v>3.5</v>
      </c>
      <c r="K16">
        <v>89</v>
      </c>
      <c r="L16">
        <v>85</v>
      </c>
      <c r="M16" s="1">
        <f t="shared" si="1"/>
        <v>84.747474747474755</v>
      </c>
    </row>
    <row r="17" spans="1:13" x14ac:dyDescent="0.45">
      <c r="A17" t="s">
        <v>19</v>
      </c>
      <c r="B17" s="1">
        <f t="shared" si="0"/>
        <v>85</v>
      </c>
      <c r="C17" t="s">
        <v>34</v>
      </c>
      <c r="D17" t="s">
        <v>148</v>
      </c>
      <c r="E17" t="s">
        <v>119</v>
      </c>
      <c r="F17">
        <v>-37.805473399999997</v>
      </c>
      <c r="G17">
        <v>144.97585419999999</v>
      </c>
      <c r="H17" t="s">
        <v>75</v>
      </c>
      <c r="I17" t="s">
        <v>27</v>
      </c>
      <c r="J17">
        <v>4</v>
      </c>
      <c r="K17">
        <v>89</v>
      </c>
      <c r="L17">
        <v>87</v>
      </c>
      <c r="M17" s="1">
        <f t="shared" si="1"/>
        <v>85.050505050505052</v>
      </c>
    </row>
    <row r="18" spans="1:13" x14ac:dyDescent="0.45">
      <c r="A18" t="s">
        <v>14</v>
      </c>
      <c r="B18" s="1">
        <f t="shared" si="0"/>
        <v>85</v>
      </c>
      <c r="C18" t="s">
        <v>30</v>
      </c>
      <c r="D18" t="s">
        <v>146</v>
      </c>
      <c r="E18" t="s">
        <v>120</v>
      </c>
      <c r="F18">
        <v>-37.813394000000002</v>
      </c>
      <c r="G18">
        <v>144.9686092</v>
      </c>
      <c r="H18" t="s">
        <v>76</v>
      </c>
      <c r="I18" t="s">
        <v>27</v>
      </c>
      <c r="J18">
        <v>4</v>
      </c>
      <c r="K18">
        <v>90</v>
      </c>
      <c r="L18">
        <v>86</v>
      </c>
      <c r="M18" s="1">
        <f t="shared" si="1"/>
        <v>85.25252525252526</v>
      </c>
    </row>
    <row r="19" spans="1:13" x14ac:dyDescent="0.45">
      <c r="A19" t="s">
        <v>11</v>
      </c>
      <c r="B19" s="1">
        <f t="shared" si="0"/>
        <v>85</v>
      </c>
      <c r="C19" t="s">
        <v>32</v>
      </c>
      <c r="D19" t="s">
        <v>146</v>
      </c>
      <c r="E19" t="s">
        <v>121</v>
      </c>
      <c r="F19">
        <v>-37.814913199999999</v>
      </c>
      <c r="G19">
        <v>144.97312289999999</v>
      </c>
      <c r="H19" t="s">
        <v>77</v>
      </c>
      <c r="I19" t="s">
        <v>27</v>
      </c>
      <c r="J19">
        <v>3.5</v>
      </c>
      <c r="K19">
        <v>90</v>
      </c>
      <c r="L19">
        <v>85</v>
      </c>
      <c r="M19" s="1">
        <f t="shared" si="1"/>
        <v>85.353535353535349</v>
      </c>
    </row>
    <row r="20" spans="1:13" x14ac:dyDescent="0.45">
      <c r="A20" t="s">
        <v>8</v>
      </c>
      <c r="B20" s="1">
        <f t="shared" si="0"/>
        <v>84</v>
      </c>
      <c r="C20" t="s">
        <v>32</v>
      </c>
      <c r="D20" t="s">
        <v>146</v>
      </c>
      <c r="E20" t="s">
        <v>122</v>
      </c>
      <c r="F20">
        <v>-37.815887199999999</v>
      </c>
      <c r="G20">
        <v>144.96873160000001</v>
      </c>
      <c r="H20" t="s">
        <v>78</v>
      </c>
      <c r="I20" t="s">
        <v>27</v>
      </c>
      <c r="J20">
        <v>4</v>
      </c>
      <c r="K20">
        <v>86</v>
      </c>
      <c r="L20">
        <v>89</v>
      </c>
      <c r="M20" s="1">
        <f t="shared" si="1"/>
        <v>84.040404040404042</v>
      </c>
    </row>
    <row r="21" spans="1:13" x14ac:dyDescent="0.45">
      <c r="A21" t="s">
        <v>7</v>
      </c>
      <c r="B21" s="1">
        <f t="shared" si="0"/>
        <v>84</v>
      </c>
      <c r="C21" t="s">
        <v>36</v>
      </c>
      <c r="D21" t="s">
        <v>149</v>
      </c>
      <c r="E21" t="s">
        <v>123</v>
      </c>
      <c r="F21">
        <v>-37.816189100000003</v>
      </c>
      <c r="G21">
        <v>144.9683115</v>
      </c>
      <c r="H21" t="s">
        <v>79</v>
      </c>
      <c r="I21" t="s">
        <v>27</v>
      </c>
      <c r="J21">
        <v>4</v>
      </c>
      <c r="K21">
        <v>87</v>
      </c>
      <c r="L21">
        <v>88</v>
      </c>
      <c r="M21" s="1">
        <f t="shared" si="1"/>
        <v>84.242424242424235</v>
      </c>
    </row>
    <row r="22" spans="1:13" x14ac:dyDescent="0.45">
      <c r="A22" t="s">
        <v>21</v>
      </c>
      <c r="B22" s="1">
        <f t="shared" si="0"/>
        <v>84</v>
      </c>
      <c r="C22" t="s">
        <v>32</v>
      </c>
      <c r="D22" t="s">
        <v>146</v>
      </c>
      <c r="E22" t="s">
        <v>124</v>
      </c>
      <c r="F22">
        <v>-37.805464999999998</v>
      </c>
      <c r="G22">
        <v>144.97589930000001</v>
      </c>
      <c r="H22" t="s">
        <v>74</v>
      </c>
      <c r="I22" t="s">
        <v>27</v>
      </c>
      <c r="J22">
        <v>3.5</v>
      </c>
      <c r="K22">
        <v>87</v>
      </c>
      <c r="L22">
        <v>87</v>
      </c>
      <c r="M22" s="1">
        <f t="shared" si="1"/>
        <v>84.343434343434339</v>
      </c>
    </row>
    <row r="23" spans="1:13" x14ac:dyDescent="0.45">
      <c r="A23" t="s">
        <v>20</v>
      </c>
      <c r="B23" s="1">
        <f t="shared" si="0"/>
        <v>83</v>
      </c>
      <c r="C23" t="s">
        <v>43</v>
      </c>
      <c r="D23" t="s">
        <v>147</v>
      </c>
      <c r="E23" t="s">
        <v>125</v>
      </c>
      <c r="F23">
        <v>-37.8063845</v>
      </c>
      <c r="G23">
        <v>144.98510970000001</v>
      </c>
      <c r="H23" t="s">
        <v>80</v>
      </c>
      <c r="I23" t="s">
        <v>27</v>
      </c>
      <c r="J23">
        <v>3.5</v>
      </c>
      <c r="K23">
        <v>84</v>
      </c>
      <c r="L23">
        <v>88</v>
      </c>
      <c r="M23" s="1">
        <f t="shared" si="1"/>
        <v>82.929292929292927</v>
      </c>
    </row>
    <row r="24" spans="1:13" x14ac:dyDescent="0.45">
      <c r="A24" t="s">
        <v>18</v>
      </c>
      <c r="B24" s="1">
        <f t="shared" si="0"/>
        <v>83</v>
      </c>
      <c r="C24" t="s">
        <v>45</v>
      </c>
      <c r="D24" t="s">
        <v>145</v>
      </c>
      <c r="E24" t="s">
        <v>126</v>
      </c>
      <c r="F24">
        <v>-37.795028600000002</v>
      </c>
      <c r="G24">
        <v>144.9792506</v>
      </c>
      <c r="H24" t="s">
        <v>81</v>
      </c>
      <c r="I24" t="s">
        <v>27</v>
      </c>
      <c r="J24">
        <v>3.5</v>
      </c>
      <c r="K24">
        <v>90</v>
      </c>
      <c r="L24">
        <v>80</v>
      </c>
      <c r="M24" s="1">
        <f t="shared" si="1"/>
        <v>83.333333333333343</v>
      </c>
    </row>
    <row r="25" spans="1:13" x14ac:dyDescent="0.45">
      <c r="A25" t="s">
        <v>4</v>
      </c>
      <c r="B25" s="1">
        <f t="shared" si="0"/>
        <v>82</v>
      </c>
      <c r="C25" t="s">
        <v>37</v>
      </c>
      <c r="D25" t="s">
        <v>147</v>
      </c>
      <c r="E25" t="s">
        <v>127</v>
      </c>
      <c r="F25">
        <v>-37.8136394</v>
      </c>
      <c r="G25">
        <v>144.9733909</v>
      </c>
      <c r="H25" t="s">
        <v>82</v>
      </c>
      <c r="I25" t="s">
        <v>27</v>
      </c>
      <c r="J25">
        <v>3.5</v>
      </c>
      <c r="K25">
        <v>85</v>
      </c>
      <c r="L25">
        <v>85</v>
      </c>
      <c r="M25" s="1">
        <f t="shared" si="1"/>
        <v>82.323232323232318</v>
      </c>
    </row>
    <row r="26" spans="1:13" x14ac:dyDescent="0.45">
      <c r="A26" t="s">
        <v>84</v>
      </c>
      <c r="B26" s="1">
        <f t="shared" si="0"/>
        <v>82</v>
      </c>
      <c r="C26" t="s">
        <v>30</v>
      </c>
      <c r="D26" t="s">
        <v>146</v>
      </c>
      <c r="E26" t="s">
        <v>128</v>
      </c>
      <c r="F26">
        <v>-37.864322399999999</v>
      </c>
      <c r="G26">
        <v>144.98226339999999</v>
      </c>
      <c r="H26" t="s">
        <v>83</v>
      </c>
      <c r="I26" t="s">
        <v>27</v>
      </c>
      <c r="J26">
        <v>2.5</v>
      </c>
      <c r="K26">
        <v>84</v>
      </c>
      <c r="L26">
        <v>84</v>
      </c>
      <c r="M26" s="1">
        <f t="shared" si="1"/>
        <v>82.323232323232318</v>
      </c>
    </row>
    <row r="27" spans="1:13" x14ac:dyDescent="0.45">
      <c r="A27" t="s">
        <v>17</v>
      </c>
      <c r="B27" s="1">
        <f t="shared" si="0"/>
        <v>81</v>
      </c>
      <c r="C27" t="s">
        <v>34</v>
      </c>
      <c r="D27" t="s">
        <v>148</v>
      </c>
      <c r="E27" t="s">
        <v>129</v>
      </c>
      <c r="F27">
        <v>-37.849426999999999</v>
      </c>
      <c r="G27">
        <v>144.99151900000001</v>
      </c>
      <c r="H27" t="s">
        <v>85</v>
      </c>
      <c r="I27" t="s">
        <v>27</v>
      </c>
      <c r="J27">
        <v>3.5</v>
      </c>
      <c r="K27">
        <v>80</v>
      </c>
      <c r="L27">
        <v>88</v>
      </c>
      <c r="M27" s="1">
        <f t="shared" si="1"/>
        <v>80.505050505050505</v>
      </c>
    </row>
    <row r="28" spans="1:13" x14ac:dyDescent="0.45">
      <c r="A28" t="s">
        <v>23</v>
      </c>
      <c r="B28" s="1">
        <f t="shared" si="0"/>
        <v>81</v>
      </c>
      <c r="C28" t="s">
        <v>30</v>
      </c>
      <c r="D28" t="s">
        <v>146</v>
      </c>
      <c r="E28" t="s">
        <v>130</v>
      </c>
      <c r="F28">
        <v>-37.810980200000003</v>
      </c>
      <c r="G28">
        <v>144.97253789999999</v>
      </c>
      <c r="H28" t="s">
        <v>86</v>
      </c>
      <c r="I28" t="s">
        <v>27</v>
      </c>
      <c r="J28">
        <v>3</v>
      </c>
      <c r="K28">
        <v>86</v>
      </c>
      <c r="L28">
        <v>78</v>
      </c>
      <c r="M28" s="1">
        <f t="shared" si="1"/>
        <v>80.606060606060609</v>
      </c>
    </row>
    <row r="29" spans="1:13" x14ac:dyDescent="0.45">
      <c r="A29" t="s">
        <v>5</v>
      </c>
      <c r="B29" s="1">
        <f t="shared" si="0"/>
        <v>81</v>
      </c>
      <c r="C29" t="s">
        <v>37</v>
      </c>
      <c r="D29" t="s">
        <v>147</v>
      </c>
      <c r="E29" t="s">
        <v>131</v>
      </c>
      <c r="F29">
        <v>-37.816451299999997</v>
      </c>
      <c r="G29">
        <v>144.96909969999999</v>
      </c>
      <c r="H29" t="s">
        <v>87</v>
      </c>
      <c r="I29" t="s">
        <v>27</v>
      </c>
      <c r="J29">
        <v>3.5</v>
      </c>
      <c r="K29">
        <v>83</v>
      </c>
      <c r="L29">
        <v>85</v>
      </c>
      <c r="M29" s="1">
        <f t="shared" si="1"/>
        <v>81.111111111111114</v>
      </c>
    </row>
    <row r="30" spans="1:13" x14ac:dyDescent="0.45">
      <c r="A30" t="s">
        <v>49</v>
      </c>
      <c r="B30" s="1">
        <f t="shared" si="0"/>
        <v>81</v>
      </c>
      <c r="C30" t="s">
        <v>50</v>
      </c>
      <c r="D30" t="s">
        <v>149</v>
      </c>
      <c r="E30" t="s">
        <v>132</v>
      </c>
      <c r="F30">
        <v>-37.788539800000002</v>
      </c>
      <c r="G30">
        <v>144.9318371</v>
      </c>
      <c r="H30" t="s">
        <v>88</v>
      </c>
      <c r="I30" t="s">
        <v>27</v>
      </c>
      <c r="J30">
        <v>2</v>
      </c>
      <c r="K30">
        <v>84</v>
      </c>
      <c r="L30">
        <v>80</v>
      </c>
      <c r="M30" s="1">
        <f t="shared" si="1"/>
        <v>81.212121212121218</v>
      </c>
    </row>
    <row r="31" spans="1:13" x14ac:dyDescent="0.45">
      <c r="A31" t="s">
        <v>103</v>
      </c>
      <c r="B31" s="1">
        <f t="shared" si="0"/>
        <v>80</v>
      </c>
      <c r="C31" t="s">
        <v>32</v>
      </c>
      <c r="D31" t="s">
        <v>146</v>
      </c>
      <c r="E31" t="s">
        <v>133</v>
      </c>
      <c r="F31">
        <v>-37.813554099999998</v>
      </c>
      <c r="G31">
        <v>144.97102520000001</v>
      </c>
      <c r="H31" t="s">
        <v>89</v>
      </c>
      <c r="I31" t="s">
        <v>27</v>
      </c>
      <c r="J31">
        <v>5</v>
      </c>
      <c r="K31">
        <v>87</v>
      </c>
      <c r="L31">
        <v>80</v>
      </c>
      <c r="M31" s="1">
        <f t="shared" si="1"/>
        <v>80</v>
      </c>
    </row>
    <row r="32" spans="1:13" x14ac:dyDescent="0.45">
      <c r="A32" t="s">
        <v>22</v>
      </c>
      <c r="B32" s="1">
        <f t="shared" si="0"/>
        <v>79</v>
      </c>
      <c r="C32" t="s">
        <v>42</v>
      </c>
      <c r="D32" t="s">
        <v>146</v>
      </c>
      <c r="E32" t="s">
        <v>134</v>
      </c>
      <c r="F32">
        <v>-37.810779599999996</v>
      </c>
      <c r="G32">
        <v>144.97079550000001</v>
      </c>
      <c r="H32" t="s">
        <v>90</v>
      </c>
      <c r="I32" t="s">
        <v>143</v>
      </c>
      <c r="J32">
        <v>3</v>
      </c>
      <c r="K32">
        <v>80</v>
      </c>
      <c r="L32">
        <v>82</v>
      </c>
      <c r="M32" s="1">
        <f t="shared" si="1"/>
        <v>78.585858585858574</v>
      </c>
    </row>
    <row r="33" spans="1:13" x14ac:dyDescent="0.45">
      <c r="A33" t="s">
        <v>104</v>
      </c>
      <c r="B33" s="1">
        <f t="shared" si="0"/>
        <v>79</v>
      </c>
      <c r="C33" t="s">
        <v>29</v>
      </c>
      <c r="D33" t="s">
        <v>148</v>
      </c>
      <c r="E33" t="s">
        <v>135</v>
      </c>
      <c r="F33">
        <v>-37.8150555</v>
      </c>
      <c r="G33">
        <v>144.97252929999999</v>
      </c>
      <c r="H33" t="s">
        <v>91</v>
      </c>
      <c r="I33" t="s">
        <v>27</v>
      </c>
      <c r="J33">
        <v>4</v>
      </c>
      <c r="K33">
        <v>85</v>
      </c>
      <c r="L33">
        <v>78</v>
      </c>
      <c r="M33" s="1">
        <f t="shared" si="1"/>
        <v>78.98989898989899</v>
      </c>
    </row>
    <row r="34" spans="1:13" x14ac:dyDescent="0.45">
      <c r="A34" t="s">
        <v>93</v>
      </c>
      <c r="B34" s="1">
        <f t="shared" si="0"/>
        <v>78</v>
      </c>
      <c r="C34" t="s">
        <v>29</v>
      </c>
      <c r="D34" t="s">
        <v>148</v>
      </c>
      <c r="E34" t="s">
        <v>136</v>
      </c>
      <c r="F34">
        <v>-37.815333000000003</v>
      </c>
      <c r="G34">
        <v>144.96267309999999</v>
      </c>
      <c r="H34" t="s">
        <v>92</v>
      </c>
      <c r="I34" t="s">
        <v>27</v>
      </c>
      <c r="J34">
        <v>4</v>
      </c>
      <c r="K34">
        <v>80</v>
      </c>
      <c r="L34">
        <v>84</v>
      </c>
      <c r="M34" s="1">
        <f t="shared" si="1"/>
        <v>78.383838383838395</v>
      </c>
    </row>
    <row r="35" spans="1:13" x14ac:dyDescent="0.45">
      <c r="A35" t="s">
        <v>24</v>
      </c>
      <c r="B35" s="1">
        <f t="shared" si="0"/>
        <v>76</v>
      </c>
      <c r="C35" t="s">
        <v>31</v>
      </c>
      <c r="D35" t="s">
        <v>145</v>
      </c>
      <c r="E35" t="s">
        <v>137</v>
      </c>
      <c r="F35">
        <v>-37.815766099999998</v>
      </c>
      <c r="G35">
        <v>144.96988970000001</v>
      </c>
      <c r="H35" t="s">
        <v>94</v>
      </c>
      <c r="I35" t="s">
        <v>27</v>
      </c>
      <c r="J35">
        <v>3.5</v>
      </c>
      <c r="K35">
        <v>82</v>
      </c>
      <c r="L35">
        <v>74</v>
      </c>
      <c r="M35" s="1">
        <f t="shared" si="1"/>
        <v>76.060606060606062</v>
      </c>
    </row>
    <row r="36" spans="1:13" x14ac:dyDescent="0.45">
      <c r="A36" t="s">
        <v>26</v>
      </c>
      <c r="B36" s="1">
        <f t="shared" si="0"/>
        <v>74</v>
      </c>
      <c r="C36" t="s">
        <v>40</v>
      </c>
      <c r="D36" t="s">
        <v>148</v>
      </c>
      <c r="E36" t="s">
        <v>138</v>
      </c>
      <c r="F36">
        <v>-37.812815000000001</v>
      </c>
      <c r="G36">
        <v>144.97251850000001</v>
      </c>
      <c r="H36" t="s">
        <v>95</v>
      </c>
      <c r="I36" t="s">
        <v>27</v>
      </c>
      <c r="J36">
        <v>2.5</v>
      </c>
      <c r="K36">
        <v>72</v>
      </c>
      <c r="L36">
        <v>82</v>
      </c>
      <c r="M36" s="1">
        <f t="shared" si="1"/>
        <v>74.242424242424249</v>
      </c>
    </row>
    <row r="37" spans="1:13" x14ac:dyDescent="0.45">
      <c r="A37" t="s">
        <v>25</v>
      </c>
      <c r="B37" s="1">
        <f t="shared" si="0"/>
        <v>71</v>
      </c>
      <c r="C37" t="s">
        <v>33</v>
      </c>
      <c r="D37" t="s">
        <v>145</v>
      </c>
      <c r="E37" t="s">
        <v>139</v>
      </c>
      <c r="F37">
        <v>-37.815731999999997</v>
      </c>
      <c r="G37">
        <v>144.97268800000001</v>
      </c>
      <c r="H37" t="s">
        <v>96</v>
      </c>
      <c r="I37" t="s">
        <v>27</v>
      </c>
      <c r="J37">
        <v>3</v>
      </c>
      <c r="K37">
        <v>75</v>
      </c>
      <c r="L37">
        <v>70</v>
      </c>
      <c r="M37" s="1">
        <f t="shared" si="1"/>
        <v>70.707070707070713</v>
      </c>
    </row>
    <row r="38" spans="1:13" x14ac:dyDescent="0.45">
      <c r="A38" t="s">
        <v>97</v>
      </c>
      <c r="B38" s="1">
        <f t="shared" si="0"/>
        <v>62</v>
      </c>
      <c r="C38" t="s">
        <v>29</v>
      </c>
      <c r="D38" t="s">
        <v>148</v>
      </c>
      <c r="E38" t="s">
        <v>140</v>
      </c>
      <c r="F38">
        <v>-37.814254800000001</v>
      </c>
      <c r="G38">
        <v>144.974186</v>
      </c>
      <c r="H38" t="s">
        <v>98</v>
      </c>
      <c r="I38" t="s">
        <v>27</v>
      </c>
      <c r="J38">
        <v>4.5</v>
      </c>
      <c r="K38">
        <v>70</v>
      </c>
      <c r="L38">
        <v>60</v>
      </c>
      <c r="M38" s="1">
        <f t="shared" si="1"/>
        <v>62.121212121212125</v>
      </c>
    </row>
  </sheetData>
  <sortState xmlns:xlrd2="http://schemas.microsoft.com/office/spreadsheetml/2017/richdata2" ref="A2:M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2025-07-11T01:56:06Z</dcterms:modified>
</cp:coreProperties>
</file>