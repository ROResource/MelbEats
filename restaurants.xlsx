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598" documentId="13_ncr:1_{6B110E32-D919-4039-A06E-9D1CDE8DCCE0}" xr6:coauthVersionLast="47" xr6:coauthVersionMax="47" xr10:uidLastSave="{E486975A-AA51-4B99-BEA9-C03DEBD86B8D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/>
  <c r="B66" i="1" s="1"/>
  <c r="M65" i="1"/>
  <c r="B65" i="1" s="1"/>
  <c r="M64" i="1"/>
  <c r="B64" i="1"/>
  <c r="M63" i="1"/>
  <c r="B63" i="1" s="1"/>
  <c r="M62" i="1"/>
  <c r="B62" i="1"/>
  <c r="M61" i="1"/>
  <c r="B61" i="1" s="1"/>
  <c r="M60" i="1"/>
  <c r="B60" i="1" s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 s="1"/>
  <c r="M51" i="1"/>
  <c r="B51" i="1" s="1"/>
  <c r="M50" i="1"/>
  <c r="B50" i="1"/>
  <c r="M49" i="1"/>
  <c r="B49" i="1" s="1"/>
  <c r="M48" i="1"/>
  <c r="B48" i="1"/>
  <c r="M47" i="1"/>
  <c r="B47" i="1"/>
  <c r="M46" i="1"/>
  <c r="B46" i="1"/>
  <c r="M45" i="1"/>
  <c r="B45" i="1" s="1"/>
  <c r="M44" i="1"/>
  <c r="B44" i="1"/>
  <c r="M43" i="1"/>
  <c r="B43" i="1"/>
  <c r="M42" i="1"/>
  <c r="B42" i="1" s="1"/>
  <c r="M41" i="1"/>
  <c r="B41" i="1"/>
  <c r="M40" i="1"/>
  <c r="B40" i="1" s="1"/>
  <c r="M39" i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<sst xmlns="http://schemas.openxmlformats.org/spreadsheetml/2006/main" count="403" uniqueCount="246">
  <si>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</si>
  <si>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</si>
  <si>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</si>
  <si>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</si>
  <si>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</si>
  <si>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</si>
  <si>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</si>
  <si>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</si>
  <si>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</si>
  <si>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</si>
  <si>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</si>
  <si>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</si>
  <si>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</si>
  <si>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</si>
  <si>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</si>
  <si>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</si>
  <si>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</si>
  <si>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</si>
  <si>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</si>
  <si>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</si>
  <si>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</si>
  <si>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</si>
  <si>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</si>
  <si>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</si>
  <si>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</si>
  <si>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</si>
  <si>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</si>
  <si>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</si>
  <si>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</si>
  <si>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</si>
  <si>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</si>
  <si>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</si>
  <si>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</si>
  <si>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</si>
  <si>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</si>
  <si>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</si>
  <si>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</si>
  <si>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</si>
  <si>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</si>
  <si>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</si>
  <si>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</si>
  <si>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</si>
  <si>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</si>
  <si>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</si>
  <si>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</si>
  <si>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</si>
  <si>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</si>
  <si>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</si>
  <si>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</si>
  <si>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</si>
  <si>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</si>
  <si>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</si>
  <si>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</si>
  <si>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</si>
  <si>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</si>
  <si>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</si>
  <si>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</si>
  <si>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</si>
  <si>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</si>
  <si>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</si>
  <si>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</si>
  <si>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</si>
  <si>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</si>
  <si>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</si>
  <si>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</si>
  <si>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</si>
  <si>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</si>
  <si>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</si>
  <si>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</si>
  <si>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</si>
  <si>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</si>
  <si>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</si>
  <si>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</si>
  <si>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</si>
  <si>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</si>
  <si>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</si>
  <si>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</si>
  <si>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</si>
  <si>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</si>
  <si>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</si>
  <si>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</si>
  <si>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</si>
  <si>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</si>
  <si>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</si>
  <si>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</si>
  <si>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</si>
  <si>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</si>
  <si>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</si>
  <si>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</si>
  <si>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</si>
  <si>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</si>
  <si>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</si>
  <si>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</si>
  <si>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</si>
  <si>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</si>
  <si>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</si>
  <si>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</si>
  <si>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</si>
  <si>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</si>
  <si>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</si>
  <si>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</si>
  <si>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</si>
  <si>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</si>
  <si>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</si>
  <si>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</si>
  <si>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</si>
  <si>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</si>
  <si>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</si>
  <si>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</si>
  <si>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</si>
  <si>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</si>
  <si>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</si>
  <si>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</si>
  <si>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</si>
  <si>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</si>
  <si>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</si>
  <si>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</si>
  <si>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</si>
  <si>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</si>
  <si>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</si>
  <si>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</si>
  <si>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</si>
  <si>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</si>
  <si>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</si>
  <si>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</si>
  <si>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</si>
  <si>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</si>
  <si>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</si>
  <si>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</si>
  <si>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</si>
  <si>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</si>
  <si>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</si>
  <si>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</si>
  <si>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</si>
  <si>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</si>
  <si>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</si>
  <si>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</si>
  <si>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</si>
  <si>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</si>
  <si>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</si>
  <si>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</si>
  <si>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</si>
  <si>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</si>
  <si>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</si>
  <si>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</si>
  <si>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</si>
  <si>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</si>
  <si>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</si>
  <si>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</si>
  <si>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</si>
  <si>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</si>
  <si>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</si>
  <si>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</si>
  <si>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</si>
  <si>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</si>
  <si>
    <t>Hochi Mama</t>
  </si>
  <si>
    <t>Trendy, tasty asian fusion. Great place to start a night out.</t>
  </si>
  <si>
    <t>https://maps.app.goo.gl/hi7h4EjotMU4c13bA</t>
  </si>
  <si>
    <t>Hakata Gensuke</t>
  </si>
  <si>
    <t>Quick, tasty ramen. Signature Pork Tonkotsu</t>
  </si>
  <si>
    <t>https://maps.app.goo.gl/FPtD7z9TxMcbDKTz9</t>
  </si>
  <si>
    <t>Ramen</t>
  </si>
  <si>
    <t>Mensho</t>
  </si>
  <si>
    <t>Tasty ramen but Hakata nextdoor is nicer.</t>
  </si>
  <si>
    <t>https://maps.app.goo.gl/qkmttrsU6koRwq139</t>
  </si>
  <si>
    <t>Udon Izakaya Maedaya</t>
  </si>
  <si>
    <t>Simple ramen spot</t>
  </si>
  <si>
    <t>https://maps.app.goo.gl/PsvStDr3rBccTvFo6</t>
  </si>
  <si>
    <t>Sot</t>
  </si>
  <si>
    <t>Korean</t>
  </si>
  <si>
    <t>Tidy little Korean restaurant</t>
  </si>
  <si>
    <t>https://maps.app.goo.gl/8dYw14QDbMo5pYMQ9</t>
  </si>
  <si>
    <t>Juicy Bao</t>
  </si>
  <si>
    <t>Chinese</t>
  </si>
  <si>
    <t>Really tasty dumpling spot, always busy</t>
  </si>
  <si>
    <t>https://maps.app.goo.gl/nFrLzseyM4BaxWb36</t>
  </si>
  <si>
    <t>OMI 380</t>
  </si>
  <si>
    <t>High quality quick Japanese</t>
  </si>
  <si>
    <t>https://maps.app.goo.gl/hskBiGKLdPLEMNLr8</t>
  </si>
  <si>
    <t>Vacation</t>
  </si>
  <si>
    <t>Café and Roaster, really good coffee</t>
  </si>
  <si>
    <t>Café</t>
  </si>
  <si>
    <t>https://maps.app.goo.gl/JZ7nFvnsvQhdrsfKA</t>
  </si>
  <si>
    <t>Tom Thumb</t>
  </si>
  <si>
    <t>Really good coffee, weekdays only</t>
  </si>
  <si>
    <t>https://maps.app.goo.gl/FxUdLgdgxzgL9zJJ9</t>
  </si>
  <si>
    <t>Café Kinetic</t>
  </si>
  <si>
    <t>Really quick, high quality breakfast. Weekdays only</t>
  </si>
  <si>
    <t>Brunch</t>
  </si>
  <si>
    <t>https://maps.app.goo.gl/BZZ65dP5yDMNrbNi6</t>
  </si>
  <si>
    <t>Chin Chin</t>
  </si>
  <si>
    <t>Very popular spot, large menu. Probably overrated</t>
  </si>
  <si>
    <t>https://maps.app.goo.gl/XPzEH38UM5S7da377</t>
  </si>
  <si>
    <t>Supernormal</t>
  </si>
  <si>
    <t>Very popular spot, large menu. Probably overrated, great for groups</t>
  </si>
  <si>
    <t>https://maps.app.goo.gl/ZK3Mpg3jTUHG2gBC6</t>
  </si>
  <si>
    <t>Agathe</t>
  </si>
  <si>
    <t>Unbelievable pastries, pandan croissant is a must. Also in South Melbourne Market</t>
  </si>
  <si>
    <t>Apollo Inn</t>
  </si>
  <si>
    <t>Very cosy cocktail bar, associated with Gimlet next door</t>
  </si>
  <si>
    <t>https://maps.app.goo.gl/2DiLGt4nnzw4DDMD7</t>
  </si>
  <si>
    <t>Really nice whiskey bar, huge selection</t>
  </si>
  <si>
    <t>Bar</t>
  </si>
  <si>
    <t>https://maps.app.goo.gl/sCvB7a2a9vqb23y58</t>
  </si>
  <si>
    <t>Whisky Den</t>
  </si>
  <si>
    <t>Whisky and Alement</t>
  </si>
  <si>
    <t>https://maps.app.goo.gl/h4a6oen8vnUDEjoD7</t>
  </si>
  <si>
    <t>Great Whisky bar, whisky tasting classes upstairs</t>
  </si>
  <si>
    <t>The Meatball and Wine Bar</t>
  </si>
  <si>
    <t>https://maps.app.goo.gl/Hy7tJrTEkmxu6inCA</t>
  </si>
  <si>
    <t>Really simple menu, incredbily tasty. Great for a quick bite</t>
  </si>
  <si>
    <t>https://maps.app.goo.gl/U3E6Xd7mmZMFjMKw5</t>
  </si>
  <si>
    <t>Beneath Driver Lane</t>
  </si>
  <si>
    <t>Really trend Jazz and Whisky bar</t>
  </si>
  <si>
    <t>Hectors Deli</t>
  </si>
  <si>
    <t>Best sandwiches in Melbourne</t>
  </si>
  <si>
    <t>https://maps.app.goo.gl/1xvKmea1kiJLKABm8</t>
  </si>
  <si>
    <t>Lunch</t>
  </si>
  <si>
    <t>Raya</t>
  </si>
  <si>
    <t>Handy spot for a sandwich and coffee</t>
  </si>
  <si>
    <t>https://maps.app.goo.gl/gvFMdWq79vgeUpru5</t>
  </si>
  <si>
    <t>Warkop</t>
  </si>
  <si>
    <t>Indonesian</t>
  </si>
  <si>
    <t>https://maps.app.goo.gl/TA1eYrf4RopcCH4M7</t>
  </si>
  <si>
    <t>Great sandwiches and bacon &amp; egg if you're early enough.</t>
  </si>
  <si>
    <t>Butchers Diner</t>
  </si>
  <si>
    <t>High-end chipper. Amazing burgers and toasties for the end of a night out</t>
  </si>
  <si>
    <t>Quick Eats</t>
  </si>
  <si>
    <t>https://maps.app.goo.gl/TL8r1t6cWu3DXyjFA</t>
  </si>
  <si>
    <t>Roccos Bologna Discoteca</t>
  </si>
  <si>
    <t>Unreal Meatball Sub</t>
  </si>
  <si>
    <t>Roccella</t>
  </si>
  <si>
    <t>Really nice italian, loads of seats, great pizza</t>
  </si>
  <si>
    <t>https://maps.app.goo.gl/bhtsA4nAYEpJfwAd6</t>
  </si>
  <si>
    <t>Prince Alfred</t>
  </si>
  <si>
    <t>Large pub with nice beer garden. Great for groups</t>
  </si>
  <si>
    <t>https://maps.app.goo.gl/K9N6M65H5WWw6VBQ8</t>
  </si>
  <si>
    <t>Humble Rays</t>
  </si>
  <si>
    <t>Great Brunch spot, super fancy eggs benedict</t>
  </si>
  <si>
    <t>https://maps.app.goo.gl/cbuR6ZG3AHkFScYUA</t>
  </si>
  <si>
    <t>Maverick</t>
  </si>
  <si>
    <t>Tasty Brunch spot</t>
  </si>
  <si>
    <t>https://maps.app.goo.gl/3X7G9zPVmJGrDKBZ6</t>
  </si>
  <si>
    <t>Plenty of tasty  meat and sushi. Very cool décor</t>
  </si>
  <si>
    <t>https://maps.app.goo.gl/E3Gk3gQcoFKNqNC89</t>
  </si>
  <si>
    <t>https://maps.app.goo.gl/5iN2mPvrVtyn3HbP8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</si>
</sst>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66"/>
  <sheetViews>
    <sheetView tabSelected="1" zoomScale="70" zoomScaleNormal="120" workbookViewId="0">
      <pane ySplit="1" topLeftCell="A34" activePane="bottomLeft" state="frozen"/>
      <selection pane="bottomLeft" activeCell="G71" sqref="G71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customWidth="1"/>
    <col min="6" max="6" width="15.86328125" customWidth="1"/>
    <col min="7" max="7" width="60.6640625" customWidth="1"/>
    <col min="8" max="8" width="66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50</v>
      </c>
      <c r="B1" t="s">
        <v>51</v>
      </c>
      <c r="C1" t="s">
        <v>99</v>
      </c>
      <c r="D1" t="s">
        <v>140</v>
      </c>
      <c r="E1" t="s">
        <v>52</v>
      </c>
      <c r="F1" t="s">
        <v>98</v>
      </c>
      <c r="G1" t="s">
        <v>97</v>
      </c>
      <c r="H1" t="s">
        <v>103</v>
      </c>
      <c r="I1" t="s">
        <v>53</v>
      </c>
      <c r="J1" t="s">
        <v>56</v>
      </c>
      <c r="K1" t="s">
        <v>54</v>
      </c>
      <c r="L1" t="s">
        <v>55</v>
      </c>
      <c r="M1" s="1" t="s">
        <v>57</v>
      </c>
    </row>
    <row r="2" spans="1:13" x14ac:dyDescent="0.45">
      <c r="A2" t="s">
        <v>45</v>
      </c>
      <c r="B2" s="1">
        <f t="shared" ref="B2:B66" si="0">ROUND(M2,0)</f>
        <v>94</v>
      </c>
      <c r="C2" t="s">
        <v>33</v>
      </c>
      <c r="D2" t="s">
        <v>141</v>
      </c>
      <c r="E2" t="s">
        <v>104</v>
      </c>
      <c r="F2">
        <v>-37.819744399999998</v>
      </c>
      <c r="G2">
        <v>145.00502520000001</v>
      </c>
      <c r="H2" t="s">
        <v>58</v>
      </c>
      <c r="I2" t="s">
        <v>146</v>
      </c>
      <c r="J2">
        <v>5</v>
      </c>
      <c r="K2">
        <v>98</v>
      </c>
      <c r="L2">
        <v>98</v>
      </c>
      <c r="M2" s="1">
        <f t="shared" ref="M2:M66" si="1">((((3*K2)+(2*L2))-(5*J2))/495)*100</f>
        <v>93.939393939393938</v>
      </c>
    </row>
    <row r="3" spans="1:13" x14ac:dyDescent="0.45">
      <c r="A3" t="s">
        <v>100</v>
      </c>
      <c r="B3" s="1">
        <f t="shared" si="0"/>
        <v>93</v>
      </c>
      <c r="C3" t="s">
        <v>33</v>
      </c>
      <c r="D3" t="s">
        <v>141</v>
      </c>
      <c r="E3" t="s">
        <v>105</v>
      </c>
      <c r="F3">
        <v>-37.816214700000003</v>
      </c>
      <c r="G3">
        <v>144.96879939999999</v>
      </c>
      <c r="H3" t="s">
        <v>59</v>
      </c>
      <c r="I3" t="s">
        <v>146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49</v>
      </c>
      <c r="B4" s="1">
        <f t="shared" si="0"/>
        <v>93</v>
      </c>
      <c r="C4" t="s">
        <v>30</v>
      </c>
      <c r="D4" t="s">
        <v>142</v>
      </c>
      <c r="E4" t="s">
        <v>106</v>
      </c>
      <c r="F4">
        <v>-37.855813300000001</v>
      </c>
      <c r="G4">
        <v>145.02494609999999</v>
      </c>
      <c r="H4" t="s">
        <v>60</v>
      </c>
      <c r="I4" t="s">
        <v>146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31</v>
      </c>
      <c r="D5" t="s">
        <v>141</v>
      </c>
      <c r="E5" t="s">
        <v>107</v>
      </c>
      <c r="F5">
        <v>-37.815699100000003</v>
      </c>
      <c r="G5">
        <v>144.97141070000001</v>
      </c>
      <c r="H5" t="s">
        <v>61</v>
      </c>
      <c r="I5" t="s">
        <v>147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26</v>
      </c>
      <c r="D6" t="s">
        <v>143</v>
      </c>
      <c r="E6" t="s">
        <v>138</v>
      </c>
      <c r="F6">
        <v>-37.812163599999998</v>
      </c>
      <c r="G6">
        <v>144.97241320000001</v>
      </c>
      <c r="H6" t="s">
        <v>62</v>
      </c>
      <c r="I6" t="s">
        <v>147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37</v>
      </c>
      <c r="D7" t="s">
        <v>144</v>
      </c>
      <c r="E7" t="s">
        <v>108</v>
      </c>
      <c r="F7">
        <v>-37.816716700000001</v>
      </c>
      <c r="G7">
        <v>144.96914169999999</v>
      </c>
      <c r="H7" t="s">
        <v>63</v>
      </c>
      <c r="I7" t="s">
        <v>147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33</v>
      </c>
      <c r="D8" t="s">
        <v>141</v>
      </c>
      <c r="E8" t="s">
        <v>109</v>
      </c>
      <c r="F8">
        <v>-37.816099999999999</v>
      </c>
      <c r="G8">
        <v>144.96879939999999</v>
      </c>
      <c r="H8" t="s">
        <v>59</v>
      </c>
      <c r="I8" t="s">
        <v>146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28</v>
      </c>
      <c r="D9" t="s">
        <v>144</v>
      </c>
      <c r="E9" t="s">
        <v>139</v>
      </c>
      <c r="F9">
        <v>-37.814523000000001</v>
      </c>
      <c r="G9">
        <v>144.974164</v>
      </c>
      <c r="H9" t="s">
        <v>64</v>
      </c>
      <c r="I9" t="s">
        <v>148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154</v>
      </c>
      <c r="B10" s="1">
        <f t="shared" si="0"/>
        <v>88</v>
      </c>
      <c r="C10" t="s">
        <v>27</v>
      </c>
      <c r="D10" t="s">
        <v>144</v>
      </c>
      <c r="E10" t="s">
        <v>110</v>
      </c>
      <c r="F10">
        <v>-37.813552199999997</v>
      </c>
      <c r="G10">
        <v>144.9619835</v>
      </c>
      <c r="H10" t="s">
        <v>65</v>
      </c>
      <c r="I10" t="s">
        <v>147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36</v>
      </c>
      <c r="D11" t="s">
        <v>144</v>
      </c>
      <c r="E11" t="s">
        <v>111</v>
      </c>
      <c r="F11">
        <v>-37.813279100000003</v>
      </c>
      <c r="G11">
        <v>144.96851409999999</v>
      </c>
      <c r="H11" t="s">
        <v>66</v>
      </c>
      <c r="I11" t="s">
        <v>147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46</v>
      </c>
      <c r="B12" s="1">
        <f t="shared" si="0"/>
        <v>87</v>
      </c>
      <c r="C12" t="s">
        <v>29</v>
      </c>
      <c r="D12" t="s">
        <v>141</v>
      </c>
      <c r="E12" t="s">
        <v>112</v>
      </c>
      <c r="F12">
        <v>-37.815992799999997</v>
      </c>
      <c r="G12">
        <v>144.96995380000001</v>
      </c>
      <c r="H12" t="s">
        <v>67</v>
      </c>
      <c r="I12" t="s">
        <v>147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34</v>
      </c>
      <c r="D13" t="s">
        <v>145</v>
      </c>
      <c r="E13" t="s">
        <v>113</v>
      </c>
      <c r="F13">
        <v>-37.8181528</v>
      </c>
      <c r="G13">
        <v>144.96266199999999</v>
      </c>
      <c r="H13" t="s">
        <v>68</v>
      </c>
      <c r="I13" t="s">
        <v>146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44</v>
      </c>
      <c r="D14" t="s">
        <v>141</v>
      </c>
      <c r="E14" t="s">
        <v>114</v>
      </c>
      <c r="F14">
        <v>-37.813893700000001</v>
      </c>
      <c r="G14">
        <v>144.96168950000001</v>
      </c>
      <c r="H14" t="s">
        <v>69</v>
      </c>
      <c r="I14" t="s">
        <v>147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42</v>
      </c>
      <c r="D15" t="s">
        <v>141</v>
      </c>
      <c r="E15" t="s">
        <v>243</v>
      </c>
      <c r="F15">
        <v>-37.815804300000003</v>
      </c>
      <c r="G15">
        <v>144.97253459999999</v>
      </c>
      <c r="H15" t="s">
        <v>70</v>
      </c>
      <c r="I15" t="s">
        <v>147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39</v>
      </c>
      <c r="D16" t="s">
        <v>143</v>
      </c>
      <c r="E16" t="s">
        <v>115</v>
      </c>
      <c r="F16">
        <v>-37.815840299999998</v>
      </c>
      <c r="G16">
        <v>144.9710359</v>
      </c>
      <c r="H16" t="s">
        <v>71</v>
      </c>
      <c r="I16" t="s">
        <v>147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18</v>
      </c>
      <c r="B17" s="1">
        <f t="shared" si="0"/>
        <v>85</v>
      </c>
      <c r="C17" t="s">
        <v>32</v>
      </c>
      <c r="D17" t="s">
        <v>144</v>
      </c>
      <c r="E17" t="s">
        <v>116</v>
      </c>
      <c r="F17">
        <v>-37.805473399999997</v>
      </c>
      <c r="G17">
        <v>144.97585419999999</v>
      </c>
      <c r="H17" t="s">
        <v>73</v>
      </c>
      <c r="I17" t="s">
        <v>148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28</v>
      </c>
      <c r="D18" t="s">
        <v>142</v>
      </c>
      <c r="E18" t="s">
        <v>117</v>
      </c>
      <c r="F18">
        <v>-37.813394000000002</v>
      </c>
      <c r="G18">
        <v>144.9686092</v>
      </c>
      <c r="H18" t="s">
        <v>74</v>
      </c>
      <c r="I18" t="s">
        <v>148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30</v>
      </c>
      <c r="D19" t="s">
        <v>142</v>
      </c>
      <c r="E19" t="s">
        <v>118</v>
      </c>
      <c r="F19">
        <v>-37.814913199999999</v>
      </c>
      <c r="G19">
        <v>144.97312289999999</v>
      </c>
      <c r="H19" t="s">
        <v>75</v>
      </c>
      <c r="I19" t="s">
        <v>147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30</v>
      </c>
      <c r="D20" t="s">
        <v>142</v>
      </c>
      <c r="E20" t="s">
        <v>119</v>
      </c>
      <c r="F20">
        <v>-37.815887199999999</v>
      </c>
      <c r="G20">
        <v>144.96873160000001</v>
      </c>
      <c r="H20" t="s">
        <v>76</v>
      </c>
      <c r="I20" t="s">
        <v>147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34</v>
      </c>
      <c r="D21" t="s">
        <v>145</v>
      </c>
      <c r="E21" t="s">
        <v>120</v>
      </c>
      <c r="F21">
        <v>-37.816189100000003</v>
      </c>
      <c r="G21">
        <v>144.9683115</v>
      </c>
      <c r="H21" t="s">
        <v>77</v>
      </c>
      <c r="I21" t="s">
        <v>147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20</v>
      </c>
      <c r="B22" s="1">
        <f t="shared" si="0"/>
        <v>84</v>
      </c>
      <c r="C22" t="s">
        <v>30</v>
      </c>
      <c r="D22" t="s">
        <v>142</v>
      </c>
      <c r="E22" t="s">
        <v>121</v>
      </c>
      <c r="F22">
        <v>-37.805464999999998</v>
      </c>
      <c r="G22">
        <v>144.97589930000001</v>
      </c>
      <c r="H22" t="s">
        <v>72</v>
      </c>
      <c r="I22" t="s">
        <v>147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19</v>
      </c>
      <c r="B23" s="1">
        <f t="shared" si="0"/>
        <v>83</v>
      </c>
      <c r="C23" t="s">
        <v>41</v>
      </c>
      <c r="D23" t="s">
        <v>143</v>
      </c>
      <c r="E23" t="s">
        <v>122</v>
      </c>
      <c r="F23">
        <v>-37.8063845</v>
      </c>
      <c r="G23">
        <v>144.98510970000001</v>
      </c>
      <c r="H23" t="s">
        <v>78</v>
      </c>
      <c r="I23" t="s">
        <v>147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17</v>
      </c>
      <c r="B24" s="1">
        <f t="shared" si="0"/>
        <v>83</v>
      </c>
      <c r="C24" t="s">
        <v>43</v>
      </c>
      <c r="D24" t="s">
        <v>141</v>
      </c>
      <c r="E24" t="s">
        <v>123</v>
      </c>
      <c r="F24">
        <v>-37.795028600000002</v>
      </c>
      <c r="G24">
        <v>144.9792506</v>
      </c>
      <c r="H24" t="s">
        <v>79</v>
      </c>
      <c r="I24" t="s">
        <v>147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35</v>
      </c>
      <c r="D25" t="s">
        <v>143</v>
      </c>
      <c r="E25" t="s">
        <v>124</v>
      </c>
      <c r="F25">
        <v>-37.8136394</v>
      </c>
      <c r="G25">
        <v>144.9733909</v>
      </c>
      <c r="H25" t="s">
        <v>80</v>
      </c>
      <c r="I25" t="s">
        <v>147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82</v>
      </c>
      <c r="B26" s="1">
        <f t="shared" si="0"/>
        <v>82</v>
      </c>
      <c r="C26" t="s">
        <v>28</v>
      </c>
      <c r="D26" t="s">
        <v>142</v>
      </c>
      <c r="E26" t="s">
        <v>125</v>
      </c>
      <c r="F26">
        <v>-37.864322399999999</v>
      </c>
      <c r="G26">
        <v>144.98226339999999</v>
      </c>
      <c r="H26" t="s">
        <v>81</v>
      </c>
      <c r="I26" t="s">
        <v>147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16</v>
      </c>
      <c r="B27" s="1">
        <f t="shared" si="0"/>
        <v>81</v>
      </c>
      <c r="C27" t="s">
        <v>32</v>
      </c>
      <c r="D27" t="s">
        <v>144</v>
      </c>
      <c r="E27" t="s">
        <v>126</v>
      </c>
      <c r="F27">
        <v>-37.849426999999999</v>
      </c>
      <c r="G27">
        <v>144.99151900000001</v>
      </c>
      <c r="H27" t="s">
        <v>83</v>
      </c>
      <c r="I27" t="s">
        <v>147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22</v>
      </c>
      <c r="B28" s="1">
        <f t="shared" si="0"/>
        <v>81</v>
      </c>
      <c r="C28" t="s">
        <v>28</v>
      </c>
      <c r="D28" t="s">
        <v>142</v>
      </c>
      <c r="E28" t="s">
        <v>127</v>
      </c>
      <c r="F28">
        <v>-37.810980200000003</v>
      </c>
      <c r="G28">
        <v>144.97253789999999</v>
      </c>
      <c r="H28" t="s">
        <v>84</v>
      </c>
      <c r="I28" t="s">
        <v>148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35</v>
      </c>
      <c r="D29" t="s">
        <v>143</v>
      </c>
      <c r="E29" t="s">
        <v>128</v>
      </c>
      <c r="F29">
        <v>-37.816451299999997</v>
      </c>
      <c r="G29">
        <v>144.96909969999999</v>
      </c>
      <c r="H29" t="s">
        <v>85</v>
      </c>
      <c r="I29" t="s">
        <v>147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47</v>
      </c>
      <c r="B30" s="1">
        <f t="shared" si="0"/>
        <v>81</v>
      </c>
      <c r="C30" t="s">
        <v>48</v>
      </c>
      <c r="D30" t="s">
        <v>145</v>
      </c>
      <c r="E30" t="s">
        <v>129</v>
      </c>
      <c r="F30">
        <v>-37.788539800000002</v>
      </c>
      <c r="G30">
        <v>144.9318371</v>
      </c>
      <c r="H30" t="s">
        <v>86</v>
      </c>
      <c r="I30" t="s">
        <v>147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101</v>
      </c>
      <c r="B31" s="1">
        <f t="shared" si="0"/>
        <v>80</v>
      </c>
      <c r="C31" t="s">
        <v>30</v>
      </c>
      <c r="D31" t="s">
        <v>142</v>
      </c>
      <c r="E31" t="s">
        <v>130</v>
      </c>
      <c r="F31">
        <v>-37.813554099999998</v>
      </c>
      <c r="G31">
        <v>144.97102520000001</v>
      </c>
      <c r="H31" t="s">
        <v>87</v>
      </c>
      <c r="I31" t="s">
        <v>146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21</v>
      </c>
      <c r="B32" s="1">
        <f t="shared" si="0"/>
        <v>79</v>
      </c>
      <c r="C32" t="s">
        <v>40</v>
      </c>
      <c r="D32" t="s">
        <v>142</v>
      </c>
      <c r="E32" t="s">
        <v>131</v>
      </c>
      <c r="F32">
        <v>-37.810779599999996</v>
      </c>
      <c r="G32">
        <v>144.97079550000001</v>
      </c>
      <c r="H32" t="s">
        <v>88</v>
      </c>
      <c r="I32" t="s">
        <v>149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102</v>
      </c>
      <c r="B33" s="1">
        <f t="shared" si="0"/>
        <v>79</v>
      </c>
      <c r="C33" t="s">
        <v>27</v>
      </c>
      <c r="D33" t="s">
        <v>144</v>
      </c>
      <c r="E33" t="s">
        <v>132</v>
      </c>
      <c r="F33">
        <v>-37.8150555</v>
      </c>
      <c r="G33">
        <v>144.97252929999999</v>
      </c>
      <c r="H33" t="s">
        <v>89</v>
      </c>
      <c r="I33" t="s">
        <v>147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91</v>
      </c>
      <c r="B34" s="1">
        <f t="shared" si="0"/>
        <v>78</v>
      </c>
      <c r="C34" t="s">
        <v>27</v>
      </c>
      <c r="D34" t="s">
        <v>144</v>
      </c>
      <c r="E34" t="s">
        <v>133</v>
      </c>
      <c r="F34">
        <v>-37.815333000000003</v>
      </c>
      <c r="G34">
        <v>144.96267309999999</v>
      </c>
      <c r="H34" t="s">
        <v>90</v>
      </c>
      <c r="I34" t="s">
        <v>147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23</v>
      </c>
      <c r="B35" s="1">
        <f t="shared" si="0"/>
        <v>76</v>
      </c>
      <c r="C35" t="s">
        <v>29</v>
      </c>
      <c r="D35" t="s">
        <v>141</v>
      </c>
      <c r="E35" t="s">
        <v>134</v>
      </c>
      <c r="F35">
        <v>-37.815766099999998</v>
      </c>
      <c r="G35">
        <v>144.96988970000001</v>
      </c>
      <c r="H35" t="s">
        <v>92</v>
      </c>
      <c r="I35" t="s">
        <v>147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25</v>
      </c>
      <c r="B36" s="1">
        <f t="shared" si="0"/>
        <v>74</v>
      </c>
      <c r="C36" t="s">
        <v>38</v>
      </c>
      <c r="D36" t="s">
        <v>144</v>
      </c>
      <c r="E36" t="s">
        <v>135</v>
      </c>
      <c r="F36">
        <v>-37.812815000000001</v>
      </c>
      <c r="G36">
        <v>144.97251850000001</v>
      </c>
      <c r="H36" t="s">
        <v>93</v>
      </c>
      <c r="I36" t="s">
        <v>147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24</v>
      </c>
      <c r="B37" s="1">
        <f t="shared" si="0"/>
        <v>71</v>
      </c>
      <c r="C37" t="s">
        <v>31</v>
      </c>
      <c r="D37" t="s">
        <v>141</v>
      </c>
      <c r="E37" t="s">
        <v>136</v>
      </c>
      <c r="F37">
        <v>-37.815731999999997</v>
      </c>
      <c r="G37">
        <v>144.97268800000001</v>
      </c>
      <c r="H37" t="s">
        <v>94</v>
      </c>
      <c r="I37" t="s">
        <v>147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95</v>
      </c>
      <c r="B38" s="1">
        <f t="shared" si="0"/>
        <v>62</v>
      </c>
      <c r="C38" t="s">
        <v>27</v>
      </c>
      <c r="D38" t="s">
        <v>144</v>
      </c>
      <c r="E38" t="s">
        <v>137</v>
      </c>
      <c r="F38">
        <v>-37.814254800000001</v>
      </c>
      <c r="G38">
        <v>144.974186</v>
      </c>
      <c r="H38" t="s">
        <v>96</v>
      </c>
      <c r="I38" t="s">
        <v>147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 x14ac:dyDescent="0.45">
      <c r="A39" t="s">
        <v>150</v>
      </c>
      <c r="B39" s="1">
        <f t="shared" si="0"/>
        <v>87</v>
      </c>
      <c r="C39" t="s">
        <v>151</v>
      </c>
      <c r="D39" t="s">
        <v>141</v>
      </c>
      <c r="E39" t="s">
        <v>152</v>
      </c>
      <c r="F39">
        <v>-37.811877199999998</v>
      </c>
      <c r="G39">
        <v>144.96924580000001</v>
      </c>
      <c r="H39" t="s">
        <v>153</v>
      </c>
      <c r="I39" t="s">
        <v>146</v>
      </c>
      <c r="J39">
        <v>5</v>
      </c>
      <c r="K39">
        <v>90</v>
      </c>
      <c r="L39">
        <v>92</v>
      </c>
      <c r="M39" s="1">
        <f t="shared" si="1"/>
        <v>86.666666666666671</v>
      </c>
    </row>
    <row r="40" spans="1:13" x14ac:dyDescent="0.45">
      <c r="A40" t="s">
        <v>155</v>
      </c>
      <c r="B40" s="1">
        <f t="shared" si="0"/>
        <v>83</v>
      </c>
      <c r="C40" t="s">
        <v>29</v>
      </c>
      <c r="D40" t="s">
        <v>141</v>
      </c>
      <c r="E40" t="s">
        <v>156</v>
      </c>
      <c r="F40">
        <v>-37.810694051619983</v>
      </c>
      <c r="G40">
        <v>144.97167465163011</v>
      </c>
      <c r="H40" t="s">
        <v>157</v>
      </c>
      <c r="I40" t="s">
        <v>147</v>
      </c>
      <c r="J40">
        <v>3</v>
      </c>
      <c r="K40">
        <v>85</v>
      </c>
      <c r="L40">
        <v>85</v>
      </c>
      <c r="M40" s="1">
        <f t="shared" si="1"/>
        <v>82.828282828282823</v>
      </c>
    </row>
    <row r="41" spans="1:13" x14ac:dyDescent="0.45">
      <c r="A41" t="s">
        <v>158</v>
      </c>
      <c r="B41" s="1">
        <f t="shared" si="0"/>
        <v>85</v>
      </c>
      <c r="C41" t="s">
        <v>33</v>
      </c>
      <c r="D41" t="s">
        <v>141</v>
      </c>
      <c r="E41" t="s">
        <v>159</v>
      </c>
      <c r="F41">
        <v>-37.812269667878702</v>
      </c>
      <c r="G41">
        <v>144.96815321783711</v>
      </c>
      <c r="H41" t="s">
        <v>160</v>
      </c>
      <c r="I41" t="s">
        <v>161</v>
      </c>
      <c r="J41">
        <v>1</v>
      </c>
      <c r="K41">
        <v>88</v>
      </c>
      <c r="L41">
        <v>80</v>
      </c>
      <c r="M41" s="1">
        <f t="shared" si="1"/>
        <v>84.646464646464651</v>
      </c>
    </row>
    <row r="42" spans="1:13" x14ac:dyDescent="0.45">
      <c r="A42" t="s">
        <v>162</v>
      </c>
      <c r="B42" s="1">
        <f t="shared" si="0"/>
        <v>83</v>
      </c>
      <c r="C42" t="s">
        <v>33</v>
      </c>
      <c r="D42" t="s">
        <v>141</v>
      </c>
      <c r="E42" t="s">
        <v>163</v>
      </c>
      <c r="F42">
        <v>-37.812341042647361</v>
      </c>
      <c r="G42">
        <v>144.96809114866701</v>
      </c>
      <c r="H42" t="s">
        <v>164</v>
      </c>
      <c r="I42" t="s">
        <v>161</v>
      </c>
      <c r="J42">
        <v>1.5</v>
      </c>
      <c r="K42">
        <v>85</v>
      </c>
      <c r="L42">
        <v>82</v>
      </c>
      <c r="M42" s="1">
        <f t="shared" si="1"/>
        <v>83.131313131313135</v>
      </c>
    </row>
    <row r="43" spans="1:13" x14ac:dyDescent="0.45">
      <c r="A43" t="s">
        <v>165</v>
      </c>
      <c r="B43" s="1">
        <f t="shared" si="0"/>
        <v>79</v>
      </c>
      <c r="C43" t="s">
        <v>33</v>
      </c>
      <c r="D43" t="s">
        <v>141</v>
      </c>
      <c r="E43" t="s">
        <v>166</v>
      </c>
      <c r="F43">
        <v>-37.812580229340412</v>
      </c>
      <c r="G43">
        <v>144.9682649423624</v>
      </c>
      <c r="H43" t="s">
        <v>167</v>
      </c>
      <c r="I43" t="s">
        <v>161</v>
      </c>
      <c r="J43">
        <v>1.5</v>
      </c>
      <c r="K43">
        <v>80</v>
      </c>
      <c r="L43">
        <v>80</v>
      </c>
      <c r="M43" s="1">
        <f t="shared" si="1"/>
        <v>79.292929292929287</v>
      </c>
    </row>
    <row r="44" spans="1:13" x14ac:dyDescent="0.45">
      <c r="A44" t="s">
        <v>168</v>
      </c>
      <c r="B44" s="1">
        <f t="shared" si="0"/>
        <v>81</v>
      </c>
      <c r="C44" t="s">
        <v>169</v>
      </c>
      <c r="D44" t="s">
        <v>141</v>
      </c>
      <c r="E44" t="s">
        <v>170</v>
      </c>
      <c r="F44">
        <v>-37.811908883160037</v>
      </c>
      <c r="G44">
        <v>144.97015223589139</v>
      </c>
      <c r="H44" t="s">
        <v>171</v>
      </c>
      <c r="I44" t="s">
        <v>161</v>
      </c>
      <c r="J44">
        <v>2</v>
      </c>
      <c r="K44">
        <v>82</v>
      </c>
      <c r="L44">
        <v>83</v>
      </c>
      <c r="M44" s="1">
        <f t="shared" si="1"/>
        <v>81.212121212121218</v>
      </c>
    </row>
    <row r="45" spans="1:13" x14ac:dyDescent="0.45">
      <c r="A45" t="s">
        <v>172</v>
      </c>
      <c r="B45" s="1">
        <f t="shared" si="0"/>
        <v>84</v>
      </c>
      <c r="C45" t="s">
        <v>173</v>
      </c>
      <c r="D45" t="s">
        <v>141</v>
      </c>
      <c r="E45" t="s">
        <v>174</v>
      </c>
      <c r="F45">
        <v>-37.811747395459307</v>
      </c>
      <c r="G45">
        <v>144.96691968394649</v>
      </c>
      <c r="H45" t="s">
        <v>175</v>
      </c>
      <c r="I45" t="s">
        <v>161</v>
      </c>
      <c r="J45">
        <v>2</v>
      </c>
      <c r="K45">
        <v>85</v>
      </c>
      <c r="L45">
        <v>85</v>
      </c>
      <c r="M45" s="1">
        <f t="shared" si="1"/>
        <v>83.838383838383834</v>
      </c>
    </row>
    <row r="46" spans="1:13" x14ac:dyDescent="0.45">
      <c r="A46" t="s">
        <v>176</v>
      </c>
      <c r="B46" s="1">
        <f t="shared" si="0"/>
        <v>85</v>
      </c>
      <c r="C46" t="s">
        <v>33</v>
      </c>
      <c r="D46" t="s">
        <v>141</v>
      </c>
      <c r="E46" t="s">
        <v>177</v>
      </c>
      <c r="F46">
        <v>-37.812221057004543</v>
      </c>
      <c r="G46">
        <v>144.96121193018951</v>
      </c>
      <c r="H46" t="s">
        <v>178</v>
      </c>
      <c r="I46" t="s">
        <v>161</v>
      </c>
      <c r="J46">
        <v>3</v>
      </c>
      <c r="K46">
        <v>88</v>
      </c>
      <c r="L46">
        <v>86</v>
      </c>
      <c r="M46" s="1">
        <f t="shared" si="1"/>
        <v>85.050505050505052</v>
      </c>
    </row>
    <row r="47" spans="1:13" x14ac:dyDescent="0.45">
      <c r="A47" t="s">
        <v>179</v>
      </c>
      <c r="B47" s="1">
        <f t="shared" si="0"/>
        <v>86</v>
      </c>
      <c r="C47" t="s">
        <v>30</v>
      </c>
      <c r="D47" t="s">
        <v>142</v>
      </c>
      <c r="E47" t="s">
        <v>180</v>
      </c>
      <c r="F47">
        <v>-37.815833570942573</v>
      </c>
      <c r="G47">
        <v>144.9721335444238</v>
      </c>
      <c r="H47" t="s">
        <v>182</v>
      </c>
      <c r="I47" t="s">
        <v>181</v>
      </c>
      <c r="J47">
        <v>1.5</v>
      </c>
      <c r="K47">
        <v>87</v>
      </c>
      <c r="L47">
        <v>87</v>
      </c>
      <c r="M47" s="1">
        <f t="shared" si="1"/>
        <v>86.36363636363636</v>
      </c>
    </row>
    <row r="48" spans="1:13" x14ac:dyDescent="0.45">
      <c r="A48" t="s">
        <v>183</v>
      </c>
      <c r="B48" s="1">
        <f t="shared" si="0"/>
        <v>86</v>
      </c>
      <c r="C48" t="s">
        <v>30</v>
      </c>
      <c r="D48" t="s">
        <v>142</v>
      </c>
      <c r="E48" t="s">
        <v>184</v>
      </c>
      <c r="F48">
        <v>-37.814840179653331</v>
      </c>
      <c r="G48">
        <v>144.97286169729369</v>
      </c>
      <c r="H48" t="s">
        <v>185</v>
      </c>
      <c r="I48" t="s">
        <v>181</v>
      </c>
      <c r="J48">
        <v>1.5</v>
      </c>
      <c r="K48">
        <v>87</v>
      </c>
      <c r="L48">
        <v>87</v>
      </c>
      <c r="M48" s="1">
        <f t="shared" si="1"/>
        <v>86.36363636363636</v>
      </c>
    </row>
    <row r="49" spans="1:13" x14ac:dyDescent="0.45">
      <c r="A49" t="s">
        <v>186</v>
      </c>
      <c r="B49" s="1">
        <f t="shared" si="0"/>
        <v>86</v>
      </c>
      <c r="C49" t="s">
        <v>30</v>
      </c>
      <c r="D49" t="s">
        <v>142</v>
      </c>
      <c r="E49" t="s">
        <v>187</v>
      </c>
      <c r="F49">
        <v>-37.815376138728993</v>
      </c>
      <c r="G49">
        <v>144.97086521489209</v>
      </c>
      <c r="H49" t="s">
        <v>189</v>
      </c>
      <c r="I49" t="s">
        <v>188</v>
      </c>
      <c r="J49">
        <v>1.5</v>
      </c>
      <c r="K49">
        <v>87</v>
      </c>
      <c r="L49">
        <v>86</v>
      </c>
      <c r="M49" s="1">
        <f t="shared" si="1"/>
        <v>85.959595959595958</v>
      </c>
    </row>
    <row r="50" spans="1:13" x14ac:dyDescent="0.45">
      <c r="A50" t="s">
        <v>190</v>
      </c>
      <c r="B50" s="1">
        <f t="shared" si="0"/>
        <v>82</v>
      </c>
      <c r="C50" t="s">
        <v>29</v>
      </c>
      <c r="D50" t="s">
        <v>141</v>
      </c>
      <c r="E50" t="s">
        <v>191</v>
      </c>
      <c r="F50">
        <v>-37.815526962377618</v>
      </c>
      <c r="G50">
        <v>144.97034542337241</v>
      </c>
      <c r="H50" t="s">
        <v>192</v>
      </c>
      <c r="I50" t="s">
        <v>147</v>
      </c>
      <c r="J50">
        <v>3</v>
      </c>
      <c r="K50">
        <v>85</v>
      </c>
      <c r="L50">
        <v>82</v>
      </c>
      <c r="M50" s="1">
        <f t="shared" si="1"/>
        <v>81.616161616161619</v>
      </c>
    </row>
    <row r="51" spans="1:13" x14ac:dyDescent="0.45">
      <c r="A51" t="s">
        <v>193</v>
      </c>
      <c r="B51" s="1">
        <f t="shared" si="0"/>
        <v>83</v>
      </c>
      <c r="C51" t="s">
        <v>29</v>
      </c>
      <c r="D51" t="s">
        <v>141</v>
      </c>
      <c r="E51" t="s">
        <v>194</v>
      </c>
      <c r="F51">
        <v>-37.815972279280103</v>
      </c>
      <c r="G51">
        <v>144.9684197724155</v>
      </c>
      <c r="H51" t="s">
        <v>195</v>
      </c>
      <c r="I51" t="s">
        <v>147</v>
      </c>
      <c r="J51">
        <v>3</v>
      </c>
      <c r="K51">
        <v>86</v>
      </c>
      <c r="L51">
        <v>83</v>
      </c>
      <c r="M51" s="1">
        <f t="shared" si="1"/>
        <v>82.62626262626263</v>
      </c>
    </row>
    <row r="52" spans="1:13" x14ac:dyDescent="0.45">
      <c r="A52" t="s">
        <v>196</v>
      </c>
      <c r="B52" s="1">
        <f t="shared" si="0"/>
        <v>88</v>
      </c>
      <c r="C52" t="s">
        <v>32</v>
      </c>
      <c r="D52" t="s">
        <v>144</v>
      </c>
      <c r="E52" t="s">
        <v>197</v>
      </c>
      <c r="F52">
        <v>-37.814588112911387</v>
      </c>
      <c r="G52">
        <v>144.96365937652169</v>
      </c>
      <c r="H52" t="s">
        <v>245</v>
      </c>
      <c r="I52" t="s">
        <v>181</v>
      </c>
      <c r="J52">
        <v>2</v>
      </c>
      <c r="K52">
        <v>90</v>
      </c>
      <c r="L52">
        <v>87</v>
      </c>
      <c r="M52" s="1">
        <f t="shared" si="1"/>
        <v>87.676767676767682</v>
      </c>
    </row>
    <row r="53" spans="1:13" x14ac:dyDescent="0.45">
      <c r="A53" t="s">
        <v>198</v>
      </c>
      <c r="B53" s="1">
        <f t="shared" si="0"/>
        <v>87</v>
      </c>
      <c r="C53" t="s">
        <v>30</v>
      </c>
      <c r="D53" t="s">
        <v>142</v>
      </c>
      <c r="E53" t="s">
        <v>199</v>
      </c>
      <c r="F53">
        <v>-37.815954257806567</v>
      </c>
      <c r="G53">
        <v>144.968990798693</v>
      </c>
      <c r="H53" t="s">
        <v>200</v>
      </c>
      <c r="I53" t="s">
        <v>149</v>
      </c>
      <c r="J53">
        <v>3.5</v>
      </c>
      <c r="K53">
        <v>90</v>
      </c>
      <c r="L53">
        <v>90</v>
      </c>
      <c r="M53" s="1">
        <f t="shared" si="1"/>
        <v>87.37373737373737</v>
      </c>
    </row>
    <row r="54" spans="1:13" x14ac:dyDescent="0.45">
      <c r="A54" t="s">
        <v>204</v>
      </c>
      <c r="B54" s="1">
        <f t="shared" si="0"/>
        <v>86</v>
      </c>
      <c r="C54" t="s">
        <v>30</v>
      </c>
      <c r="D54" t="s">
        <v>142</v>
      </c>
      <c r="E54" t="s">
        <v>201</v>
      </c>
      <c r="F54">
        <v>-37.815994516953609</v>
      </c>
      <c r="G54">
        <v>144.96939447113971</v>
      </c>
      <c r="H54" t="s">
        <v>203</v>
      </c>
      <c r="I54" t="s">
        <v>202</v>
      </c>
      <c r="J54">
        <v>4</v>
      </c>
      <c r="K54">
        <v>90</v>
      </c>
      <c r="L54">
        <v>88</v>
      </c>
      <c r="M54" s="1">
        <f t="shared" si="1"/>
        <v>86.060606060606062</v>
      </c>
    </row>
    <row r="55" spans="1:13" x14ac:dyDescent="0.45">
      <c r="A55" t="s">
        <v>205</v>
      </c>
      <c r="B55" s="1">
        <f t="shared" si="0"/>
        <v>88</v>
      </c>
      <c r="C55" t="s">
        <v>30</v>
      </c>
      <c r="D55" t="s">
        <v>142</v>
      </c>
      <c r="E55" t="s">
        <v>207</v>
      </c>
      <c r="F55">
        <v>-37.810065712874973</v>
      </c>
      <c r="G55">
        <v>144.96705794313331</v>
      </c>
      <c r="H55" t="s">
        <v>206</v>
      </c>
      <c r="I55" t="s">
        <v>202</v>
      </c>
      <c r="J55">
        <v>4</v>
      </c>
      <c r="K55">
        <v>92</v>
      </c>
      <c r="L55">
        <v>89</v>
      </c>
      <c r="M55" s="1">
        <f t="shared" si="1"/>
        <v>87.676767676767682</v>
      </c>
    </row>
    <row r="56" spans="1:13" x14ac:dyDescent="0.45">
      <c r="A56" t="s">
        <v>208</v>
      </c>
      <c r="B56" s="1">
        <f t="shared" si="0"/>
        <v>89</v>
      </c>
      <c r="C56" t="s">
        <v>27</v>
      </c>
      <c r="D56" t="s">
        <v>144</v>
      </c>
      <c r="E56" t="s">
        <v>210</v>
      </c>
      <c r="F56">
        <v>-37.815608636812037</v>
      </c>
      <c r="G56">
        <v>144.97008073789809</v>
      </c>
      <c r="H56" t="s">
        <v>209</v>
      </c>
      <c r="I56" t="s">
        <v>147</v>
      </c>
      <c r="J56">
        <v>3</v>
      </c>
      <c r="K56">
        <v>90</v>
      </c>
      <c r="L56">
        <v>94</v>
      </c>
      <c r="M56" s="1">
        <f t="shared" si="1"/>
        <v>89.494949494949495</v>
      </c>
    </row>
    <row r="57" spans="1:13" x14ac:dyDescent="0.45">
      <c r="A57" t="s">
        <v>212</v>
      </c>
      <c r="B57" s="1">
        <f t="shared" si="0"/>
        <v>89</v>
      </c>
      <c r="C57" t="s">
        <v>30</v>
      </c>
      <c r="D57" t="s">
        <v>142</v>
      </c>
      <c r="E57" t="s">
        <v>213</v>
      </c>
      <c r="F57">
        <v>-37.812983327593827</v>
      </c>
      <c r="G57">
        <v>144.96302097707229</v>
      </c>
      <c r="H57" t="s">
        <v>211</v>
      </c>
      <c r="I57" t="s">
        <v>202</v>
      </c>
      <c r="J57">
        <v>2.5</v>
      </c>
      <c r="K57">
        <v>87</v>
      </c>
      <c r="L57">
        <v>95</v>
      </c>
      <c r="M57" s="1">
        <f t="shared" si="1"/>
        <v>88.585858585858588</v>
      </c>
    </row>
    <row r="58" spans="1:13" x14ac:dyDescent="0.45">
      <c r="A58" t="s">
        <v>214</v>
      </c>
      <c r="B58" s="1">
        <f t="shared" si="0"/>
        <v>92</v>
      </c>
      <c r="C58" t="s">
        <v>30</v>
      </c>
      <c r="D58" t="s">
        <v>142</v>
      </c>
      <c r="E58" t="s">
        <v>215</v>
      </c>
      <c r="F58">
        <v>-37.812899464861317</v>
      </c>
      <c r="G58">
        <v>144.97170566105669</v>
      </c>
      <c r="H58" t="s">
        <v>216</v>
      </c>
      <c r="I58" t="s">
        <v>217</v>
      </c>
      <c r="J58">
        <v>2.5</v>
      </c>
      <c r="K58">
        <v>94</v>
      </c>
      <c r="L58">
        <v>93</v>
      </c>
      <c r="M58" s="1">
        <f t="shared" si="1"/>
        <v>92.020202020202021</v>
      </c>
    </row>
    <row r="59" spans="1:13" x14ac:dyDescent="0.45">
      <c r="A59" t="s">
        <v>218</v>
      </c>
      <c r="B59" s="1">
        <f t="shared" si="0"/>
        <v>85</v>
      </c>
      <c r="C59" t="s">
        <v>29</v>
      </c>
      <c r="D59" t="s">
        <v>141</v>
      </c>
      <c r="E59" t="s">
        <v>219</v>
      </c>
      <c r="F59">
        <v>-37.812910544245653</v>
      </c>
      <c r="G59">
        <v>144.97162379014179</v>
      </c>
      <c r="H59" t="s">
        <v>220</v>
      </c>
      <c r="I59" t="s">
        <v>217</v>
      </c>
      <c r="J59">
        <v>2</v>
      </c>
      <c r="K59">
        <v>87</v>
      </c>
      <c r="L59">
        <v>85</v>
      </c>
      <c r="M59" s="1">
        <f t="shared" si="1"/>
        <v>85.050505050505052</v>
      </c>
    </row>
    <row r="60" spans="1:13" x14ac:dyDescent="0.45">
      <c r="A60" t="s">
        <v>221</v>
      </c>
      <c r="B60" s="1">
        <f t="shared" si="0"/>
        <v>88</v>
      </c>
      <c r="C60" t="s">
        <v>222</v>
      </c>
      <c r="D60" t="s">
        <v>141</v>
      </c>
      <c r="E60" t="s">
        <v>224</v>
      </c>
      <c r="F60">
        <v>-37.812539157599922</v>
      </c>
      <c r="G60">
        <v>144.9730431840747</v>
      </c>
      <c r="H60" t="s">
        <v>223</v>
      </c>
      <c r="I60" t="s">
        <v>217</v>
      </c>
      <c r="J60">
        <v>2</v>
      </c>
      <c r="K60">
        <v>89</v>
      </c>
      <c r="L60">
        <v>90</v>
      </c>
      <c r="M60" s="1">
        <f t="shared" si="1"/>
        <v>88.282828282828291</v>
      </c>
    </row>
    <row r="61" spans="1:13" x14ac:dyDescent="0.45">
      <c r="A61" t="s">
        <v>225</v>
      </c>
      <c r="B61" s="1">
        <f t="shared" si="0"/>
        <v>91</v>
      </c>
      <c r="C61" t="s">
        <v>30</v>
      </c>
      <c r="D61" t="s">
        <v>142</v>
      </c>
      <c r="E61" t="s">
        <v>226</v>
      </c>
      <c r="F61">
        <v>-37.811302624313569</v>
      </c>
      <c r="G61">
        <v>144.9726147223958</v>
      </c>
      <c r="H61" t="s">
        <v>228</v>
      </c>
      <c r="I61" t="s">
        <v>227</v>
      </c>
      <c r="J61">
        <v>2</v>
      </c>
      <c r="K61">
        <v>93</v>
      </c>
      <c r="L61">
        <v>90</v>
      </c>
      <c r="M61" s="1">
        <f t="shared" si="1"/>
        <v>90.707070707070699</v>
      </c>
    </row>
    <row r="62" spans="1:13" x14ac:dyDescent="0.45">
      <c r="A62" t="s">
        <v>229</v>
      </c>
      <c r="B62" s="1">
        <f t="shared" si="0"/>
        <v>85</v>
      </c>
      <c r="C62" t="s">
        <v>27</v>
      </c>
      <c r="D62" t="s">
        <v>144</v>
      </c>
      <c r="E62" t="s">
        <v>230</v>
      </c>
      <c r="F62">
        <v>-37.804421549714171</v>
      </c>
      <c r="G62">
        <v>144.97481178428711</v>
      </c>
      <c r="H62" t="s">
        <v>244</v>
      </c>
      <c r="I62" t="s">
        <v>147</v>
      </c>
      <c r="J62">
        <v>3</v>
      </c>
      <c r="K62">
        <v>88</v>
      </c>
      <c r="L62">
        <v>85</v>
      </c>
      <c r="M62" s="1">
        <f t="shared" si="1"/>
        <v>84.646464646464651</v>
      </c>
    </row>
    <row r="63" spans="1:13" x14ac:dyDescent="0.45">
      <c r="A63" t="s">
        <v>231</v>
      </c>
      <c r="B63" s="1">
        <f t="shared" si="0"/>
        <v>85</v>
      </c>
      <c r="C63" t="s">
        <v>27</v>
      </c>
      <c r="D63" t="s">
        <v>144</v>
      </c>
      <c r="E63" t="s">
        <v>232</v>
      </c>
      <c r="F63">
        <v>-37.811457071394358</v>
      </c>
      <c r="G63">
        <v>144.98330902173689</v>
      </c>
      <c r="H63" t="s">
        <v>233</v>
      </c>
      <c r="I63" t="s">
        <v>147</v>
      </c>
      <c r="J63">
        <v>3</v>
      </c>
      <c r="K63">
        <v>88</v>
      </c>
      <c r="L63">
        <v>87</v>
      </c>
      <c r="M63" s="1">
        <f t="shared" si="1"/>
        <v>85.454545454545453</v>
      </c>
    </row>
    <row r="64" spans="1:13" x14ac:dyDescent="0.45">
      <c r="A64" t="s">
        <v>234</v>
      </c>
      <c r="B64" s="1">
        <f t="shared" si="0"/>
        <v>83</v>
      </c>
      <c r="C64" t="s">
        <v>30</v>
      </c>
      <c r="D64" t="s">
        <v>142</v>
      </c>
      <c r="E64" t="s">
        <v>235</v>
      </c>
      <c r="F64">
        <v>-37.829463346138489</v>
      </c>
      <c r="G64">
        <v>144.9970989578641</v>
      </c>
      <c r="H64" t="s">
        <v>236</v>
      </c>
      <c r="I64" t="s">
        <v>202</v>
      </c>
      <c r="J64">
        <v>2.5</v>
      </c>
      <c r="K64">
        <v>85</v>
      </c>
      <c r="L64">
        <v>85</v>
      </c>
      <c r="M64" s="1">
        <f t="shared" si="1"/>
        <v>83.333333333333343</v>
      </c>
    </row>
    <row r="65" spans="1:13" x14ac:dyDescent="0.45">
      <c r="A65" t="s">
        <v>237</v>
      </c>
      <c r="B65" s="1">
        <f t="shared" si="0"/>
        <v>87</v>
      </c>
      <c r="C65" t="s">
        <v>30</v>
      </c>
      <c r="D65" t="s">
        <v>142</v>
      </c>
      <c r="E65" t="s">
        <v>238</v>
      </c>
      <c r="F65">
        <v>-37.804407650985858</v>
      </c>
      <c r="G65">
        <v>144.9616612554934</v>
      </c>
      <c r="H65" t="s">
        <v>239</v>
      </c>
      <c r="I65" t="s">
        <v>188</v>
      </c>
      <c r="J65">
        <v>3</v>
      </c>
      <c r="K65">
        <v>90</v>
      </c>
      <c r="L65">
        <v>87</v>
      </c>
      <c r="M65" s="1">
        <f t="shared" si="1"/>
        <v>86.666666666666671</v>
      </c>
    </row>
    <row r="66" spans="1:13" x14ac:dyDescent="0.45">
      <c r="A66" t="s">
        <v>240</v>
      </c>
      <c r="B66" s="1">
        <f t="shared" si="0"/>
        <v>86</v>
      </c>
      <c r="C66" t="s">
        <v>30</v>
      </c>
      <c r="D66" t="s">
        <v>142</v>
      </c>
      <c r="E66" t="s">
        <v>241</v>
      </c>
      <c r="F66">
        <v>-37.813368543612263</v>
      </c>
      <c r="G66">
        <v>144.97026450222339</v>
      </c>
      <c r="H66" t="s">
        <v>242</v>
      </c>
      <c r="I66" t="s">
        <v>188</v>
      </c>
      <c r="J66">
        <v>3</v>
      </c>
      <c r="K66">
        <v>88</v>
      </c>
      <c r="L66">
        <v>88</v>
      </c>
      <c r="M66" s="1">
        <f t="shared" si="1"/>
        <v>85.858585858585855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2025-07-20T08:29:22Z</dcterms:modified>
</cp:coreProperties>
</file>